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BSENSI_DIGITAL\template\"/>
    </mc:Choice>
  </mc:AlternateContent>
  <xr:revisionPtr revIDLastSave="0" documentId="8_{D359E6FA-FE9A-405C-AE8B-DE7EC07B194E}" xr6:coauthVersionLast="47" xr6:coauthVersionMax="47" xr10:uidLastSave="{00000000-0000-0000-0000-000000000000}"/>
  <bookViews>
    <workbookView xWindow="-120" yWindow="-120" windowWidth="29040" windowHeight="15720" xr2:uid="{9D35E1A0-7513-4040-8DDD-5BC0E2B25740}"/>
  </bookViews>
  <sheets>
    <sheet name="black_en_white" sheetId="1" r:id="rId1"/>
  </sheets>
  <externalReferences>
    <externalReference r:id="rId2"/>
    <externalReference r:id="rId3"/>
  </externalReferences>
  <definedNames>
    <definedName name="gurue">[1]Sheet5!$A$1:$B$65</definedName>
    <definedName name="JADWALE">'[2]CEK JADWAL'!$D$9:$AI$65</definedName>
    <definedName name="JD_12">#REF!</definedName>
    <definedName name="namaguru">[1]Sheet3!$A$1:$B$54</definedName>
    <definedName name="_xlnm.Print_Area" localSheetId="0">black_en_white!$A$2:$AH$84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6" i="1" l="1"/>
  <c r="B166" i="1"/>
  <c r="E164" i="1"/>
  <c r="B164" i="1"/>
  <c r="E162" i="1"/>
  <c r="B162" i="1"/>
  <c r="E160" i="1"/>
  <c r="B160" i="1"/>
  <c r="E158" i="1"/>
  <c r="B158" i="1"/>
  <c r="E156" i="1"/>
  <c r="B156" i="1"/>
  <c r="E154" i="1"/>
  <c r="B154" i="1"/>
  <c r="E152" i="1"/>
  <c r="B152" i="1"/>
  <c r="E151" i="1"/>
  <c r="B151" i="1"/>
  <c r="E149" i="1"/>
  <c r="B149" i="1"/>
  <c r="B146" i="1"/>
  <c r="E145" i="1"/>
  <c r="B145" i="1"/>
  <c r="E144" i="1"/>
  <c r="B144" i="1"/>
  <c r="E143" i="1"/>
  <c r="B143" i="1"/>
  <c r="E142" i="1"/>
  <c r="B142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2" i="1"/>
  <c r="B132" i="1"/>
  <c r="E131" i="1"/>
  <c r="B131" i="1"/>
  <c r="E130" i="1"/>
  <c r="B130" i="1"/>
  <c r="E128" i="1"/>
  <c r="B128" i="1"/>
  <c r="E126" i="1"/>
  <c r="B126" i="1"/>
  <c r="E124" i="1"/>
  <c r="B124" i="1"/>
  <c r="G122" i="1"/>
  <c r="E122" i="1"/>
  <c r="B122" i="1"/>
  <c r="E121" i="1"/>
  <c r="B121" i="1"/>
  <c r="E120" i="1"/>
  <c r="B120" i="1"/>
  <c r="B117" i="1"/>
  <c r="B116" i="1"/>
  <c r="B115" i="1"/>
  <c r="B114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A84" i="1"/>
  <c r="T83" i="1"/>
  <c r="R83" i="1"/>
  <c r="P83" i="1"/>
  <c r="N83" i="1"/>
  <c r="K83" i="1"/>
  <c r="I83" i="1"/>
  <c r="G83" i="1"/>
  <c r="E83" i="1"/>
  <c r="B83" i="1"/>
  <c r="T82" i="1"/>
  <c r="R82" i="1"/>
  <c r="P82" i="1"/>
  <c r="N82" i="1"/>
  <c r="K82" i="1"/>
  <c r="I82" i="1"/>
  <c r="G82" i="1"/>
  <c r="E82" i="1"/>
  <c r="B82" i="1"/>
  <c r="T81" i="1"/>
  <c r="R81" i="1"/>
  <c r="P81" i="1"/>
  <c r="N81" i="1"/>
  <c r="K81" i="1"/>
  <c r="I81" i="1"/>
  <c r="G81" i="1"/>
  <c r="E81" i="1"/>
  <c r="B81" i="1"/>
  <c r="T80" i="1"/>
  <c r="R80" i="1"/>
  <c r="P80" i="1"/>
  <c r="N80" i="1"/>
  <c r="K80" i="1"/>
  <c r="I80" i="1"/>
  <c r="G80" i="1"/>
  <c r="E80" i="1"/>
  <c r="B80" i="1"/>
  <c r="W79" i="1"/>
  <c r="T79" i="1"/>
  <c r="R79" i="1"/>
  <c r="P79" i="1"/>
  <c r="N79" i="1"/>
  <c r="K79" i="1"/>
  <c r="I79" i="1"/>
  <c r="G79" i="1"/>
  <c r="E79" i="1"/>
  <c r="B79" i="1"/>
  <c r="W78" i="1"/>
  <c r="T78" i="1"/>
  <c r="R78" i="1"/>
  <c r="P78" i="1"/>
  <c r="N78" i="1"/>
  <c r="K78" i="1"/>
  <c r="I78" i="1"/>
  <c r="G78" i="1"/>
  <c r="E78" i="1"/>
  <c r="B78" i="1"/>
  <c r="W77" i="1"/>
  <c r="T77" i="1"/>
  <c r="R77" i="1"/>
  <c r="P77" i="1"/>
  <c r="N77" i="1"/>
  <c r="K77" i="1"/>
  <c r="I77" i="1"/>
  <c r="G77" i="1"/>
  <c r="E77" i="1"/>
  <c r="B77" i="1"/>
  <c r="W76" i="1"/>
  <c r="T76" i="1"/>
  <c r="R76" i="1"/>
  <c r="P76" i="1"/>
  <c r="N76" i="1"/>
  <c r="K76" i="1"/>
  <c r="I76" i="1"/>
  <c r="G76" i="1"/>
  <c r="E76" i="1"/>
  <c r="B76" i="1"/>
  <c r="W75" i="1"/>
  <c r="T75" i="1"/>
  <c r="R75" i="1"/>
  <c r="P75" i="1"/>
  <c r="N75" i="1"/>
  <c r="K75" i="1"/>
  <c r="I75" i="1"/>
  <c r="G75" i="1"/>
  <c r="E75" i="1"/>
  <c r="B75" i="1"/>
  <c r="W74" i="1"/>
  <c r="T74" i="1"/>
  <c r="R74" i="1"/>
  <c r="P74" i="1"/>
  <c r="N74" i="1"/>
  <c r="K74" i="1"/>
  <c r="I74" i="1"/>
  <c r="G74" i="1"/>
  <c r="E74" i="1"/>
  <c r="B74" i="1"/>
  <c r="W73" i="1"/>
  <c r="T73" i="1"/>
  <c r="R73" i="1"/>
  <c r="P73" i="1"/>
  <c r="N73" i="1"/>
  <c r="K73" i="1"/>
  <c r="I73" i="1"/>
  <c r="G73" i="1"/>
  <c r="E73" i="1"/>
  <c r="B73" i="1"/>
  <c r="W72" i="1"/>
  <c r="T72" i="1"/>
  <c r="R72" i="1"/>
  <c r="P72" i="1"/>
  <c r="N72" i="1"/>
  <c r="K72" i="1"/>
  <c r="I72" i="1"/>
  <c r="G72" i="1"/>
  <c r="E72" i="1"/>
  <c r="B72" i="1"/>
  <c r="W71" i="1"/>
  <c r="T71" i="1"/>
  <c r="R71" i="1"/>
  <c r="P71" i="1"/>
  <c r="N71" i="1"/>
  <c r="K71" i="1"/>
  <c r="I71" i="1"/>
  <c r="G71" i="1"/>
  <c r="E71" i="1"/>
  <c r="B71" i="1"/>
  <c r="W70" i="1"/>
  <c r="T70" i="1"/>
  <c r="R70" i="1"/>
  <c r="P70" i="1"/>
  <c r="N70" i="1"/>
  <c r="K70" i="1"/>
  <c r="I70" i="1"/>
  <c r="G70" i="1"/>
  <c r="E70" i="1"/>
  <c r="B70" i="1"/>
  <c r="W69" i="1"/>
  <c r="T69" i="1"/>
  <c r="R69" i="1"/>
  <c r="P69" i="1"/>
  <c r="N69" i="1"/>
  <c r="K69" i="1"/>
  <c r="I69" i="1"/>
  <c r="G69" i="1"/>
  <c r="E69" i="1"/>
  <c r="B69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<sst xmlns="http://schemas.openxmlformats.org/spreadsheetml/2006/main" count="307" uniqueCount="129">
  <si>
    <t>Hari</t>
  </si>
  <si>
    <r>
      <rPr>
        <b/>
        <sz val="11"/>
        <rFont val="Arial"/>
        <family val="2"/>
      </rPr>
      <t>Waktu</t>
    </r>
  </si>
  <si>
    <r>
      <rPr>
        <b/>
        <sz val="10"/>
        <rFont val="Arial"/>
        <family val="2"/>
      </rPr>
      <t>KURIKULUM MERDEKA</t>
    </r>
  </si>
  <si>
    <r>
      <rPr>
        <b/>
        <sz val="11"/>
        <rFont val="Arial"/>
        <family val="2"/>
      </rPr>
      <t>Jam Ke</t>
    </r>
  </si>
  <si>
    <r>
      <rPr>
        <b/>
        <sz val="10"/>
        <rFont val="Arial"/>
        <family val="2"/>
      </rPr>
      <t>KELAS X</t>
    </r>
  </si>
  <si>
    <t>KELAS XI</t>
  </si>
  <si>
    <t>KELAS XII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</si>
  <si>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</si>
  <si>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</si>
  <si>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</si>
  <si>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</si>
  <si>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</si>
  <si>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</si>
  <si>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</si>
  <si>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</si>
  <si>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</si>
  <si>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</si>
  <si>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rPr>
        <b/>
        <sz val="10"/>
        <rFont val="Arial"/>
        <family val="2"/>
      </rPr>
      <t>1*</t>
    </r>
  </si>
  <si>
    <r>
      <rPr>
        <b/>
        <sz val="10"/>
        <rFont val="Arial"/>
        <family val="2"/>
      </rPr>
      <t>2*</t>
    </r>
  </si>
  <si>
    <r>
      <rPr>
        <b/>
        <sz val="10"/>
        <rFont val="Arial"/>
        <family val="2"/>
      </rPr>
      <t>3*</t>
    </r>
  </si>
  <si>
    <r>
      <rPr>
        <b/>
        <sz val="10"/>
        <rFont val="Arial"/>
        <family val="2"/>
      </rPr>
      <t>4*</t>
    </r>
  </si>
  <si>
    <r>
      <rPr>
        <b/>
        <sz val="10"/>
        <rFont val="Arial"/>
        <family val="2"/>
      </rPr>
      <t>5*</t>
    </r>
  </si>
  <si>
    <t>1*</t>
  </si>
  <si>
    <t>2*</t>
  </si>
  <si>
    <t>3*</t>
  </si>
  <si>
    <t>4*</t>
  </si>
  <si>
    <t>5*</t>
  </si>
  <si>
    <t>BAHASA INDONESIA</t>
  </si>
  <si>
    <t>Senin</t>
  </si>
  <si>
    <t>07.15-08.00</t>
  </si>
  <si>
    <t>UPACARA BENDERA</t>
  </si>
  <si>
    <t>MATEMATIKA</t>
  </si>
  <si>
    <t>08.00-08.45</t>
  </si>
  <si>
    <t>BAHASA INGGRIS</t>
  </si>
  <si>
    <t>08.45-09.30</t>
  </si>
  <si>
    <t>PJOK</t>
  </si>
  <si>
    <t>09.30-10.15</t>
  </si>
  <si>
    <t>SEJARAH</t>
  </si>
  <si>
    <t>10.15-10.30</t>
  </si>
  <si>
    <r>
      <rPr>
        <b/>
        <sz val="10"/>
        <rFont val="Arial"/>
        <family val="2"/>
      </rPr>
      <t>IH1</t>
    </r>
  </si>
  <si>
    <t>ISTIRAHAT KE-1</t>
  </si>
  <si>
    <t>SENI BUDAYA</t>
  </si>
  <si>
    <t>10.30-11.15</t>
  </si>
  <si>
    <t>FISIKA</t>
  </si>
  <si>
    <t>11.15-12.00</t>
  </si>
  <si>
    <t>KIMIA</t>
  </si>
  <si>
    <t>12.00-12.30</t>
  </si>
  <si>
    <r>
      <rPr>
        <b/>
        <sz val="10"/>
        <rFont val="Arial"/>
        <family val="2"/>
      </rPr>
      <t>IH2</t>
    </r>
  </si>
  <si>
    <t>ISTIRAHAT KE 2</t>
  </si>
  <si>
    <t>BIOLOGI</t>
  </si>
  <si>
    <t>12.30-13.10</t>
  </si>
  <si>
    <t>INFORMATIKA</t>
  </si>
  <si>
    <t>13.10-13.50</t>
  </si>
  <si>
    <t>13.50-14.30</t>
  </si>
  <si>
    <t>PKWU</t>
  </si>
  <si>
    <t>14.30-15.10</t>
  </si>
  <si>
    <t>14.50-15.00</t>
  </si>
  <si>
    <t>GEOGRAFI</t>
  </si>
  <si>
    <t>SOSIOLOGI</t>
  </si>
  <si>
    <t>PRAKTEK IBADAH</t>
  </si>
  <si>
    <t>Selasa</t>
  </si>
  <si>
    <t>EKONOMI</t>
  </si>
  <si>
    <t>12.30 - 13.15</t>
  </si>
  <si>
    <t>12.30-13.15</t>
  </si>
  <si>
    <t>13.15 -14.00</t>
  </si>
  <si>
    <t>13.15-14.00</t>
  </si>
  <si>
    <t>13.40-14.15</t>
  </si>
  <si>
    <t>14.15-14.50</t>
  </si>
  <si>
    <t>Rabu</t>
  </si>
  <si>
    <t>IH1</t>
  </si>
  <si>
    <t>IH2</t>
  </si>
  <si>
    <t>14.00 - 14.45</t>
  </si>
  <si>
    <t>Kamis</t>
  </si>
  <si>
    <t>13.15 - 14.00</t>
  </si>
  <si>
    <t>Jumat</t>
  </si>
  <si>
    <t>PEMBIASAAN</t>
  </si>
  <si>
    <t>08.00-08.30</t>
  </si>
  <si>
    <t>08.30-09.00</t>
  </si>
  <si>
    <t>09.00-09.30</t>
  </si>
  <si>
    <t>09.30-10.00</t>
  </si>
  <si>
    <t>10.00-10.15</t>
  </si>
  <si>
    <r>
      <rPr>
        <b/>
        <sz val="10"/>
        <rFont val="Arial"/>
        <family val="2"/>
      </rPr>
      <t>IH</t>
    </r>
  </si>
  <si>
    <t>10.15-10.45</t>
  </si>
  <si>
    <t>10.45-11.20</t>
  </si>
  <si>
    <t>11.20-11.30</t>
  </si>
  <si>
    <t>NO</t>
  </si>
  <si>
    <r>
      <rPr>
        <sz val="11"/>
        <rFont val="Arial Black"/>
        <family val="2"/>
      </rPr>
      <t>NAMA GURU</t>
    </r>
  </si>
  <si>
    <r>
      <rPr>
        <sz val="10"/>
        <rFont val="Arial Black"/>
        <family val="2"/>
      </rPr>
      <t>NAMA GURU</t>
    </r>
  </si>
  <si>
    <t>NAMA GURU</t>
  </si>
  <si>
    <t>*)  Jadwal akan dilakukan perbaikan apabila terjadi benturan waktu</t>
  </si>
  <si>
    <r>
      <rPr>
        <b/>
        <sz val="11"/>
        <rFont val="Calibri"/>
        <family val="2"/>
      </rPr>
      <t>NAMA DAN KODE MAPEL</t>
    </r>
  </si>
  <si>
    <t>KODE GURU</t>
  </si>
  <si>
    <t>MATA PELAJARAN YANG DI AMPU</t>
  </si>
  <si>
    <t>:</t>
  </si>
  <si>
    <r>
      <rPr>
        <sz val="10"/>
        <rFont val="Calibri"/>
        <family val="2"/>
      </rPr>
      <t>KEPALA SEKOLAH</t>
    </r>
  </si>
  <si>
    <r>
      <rPr>
        <sz val="10"/>
        <rFont val="Calibri"/>
        <family val="2"/>
      </rPr>
      <t>BAHASA INDONESIA</t>
    </r>
  </si>
  <si>
    <t>ANTROPOLOGI/SOSIOLOGI</t>
  </si>
  <si>
    <t>PENDIDIKAN AGAMA DAN  BUDI PEKERTI</t>
  </si>
  <si>
    <t>BP/BK</t>
  </si>
  <si>
    <t>PENDIDIKAN AGAMA DAN BUDI PEKERTI</t>
  </si>
  <si>
    <t>PENDIDIKAN KEWARGANEGARAAN</t>
  </si>
  <si>
    <t>MATEMATIKA / MATEMATIKA TINGKAT LANJUT</t>
  </si>
  <si>
    <t xml:space="preserve">PENDIDIKAN KEWARGANEGARAAN </t>
  </si>
  <si>
    <t>24S</t>
  </si>
  <si>
    <r>
      <rPr>
        <b/>
        <sz val="10"/>
        <rFont val="Calibri"/>
        <family val="2"/>
      </rPr>
      <t>:</t>
    </r>
  </si>
  <si>
    <t>28Pk</t>
  </si>
  <si>
    <t>28Sb</t>
  </si>
  <si>
    <t>31G</t>
  </si>
  <si>
    <t>GEOGRAFI / SENIBUDAYA</t>
  </si>
  <si>
    <t xml:space="preserve">PENDIDIKAN AGAMA DAN BUDI PEKERTI </t>
  </si>
  <si>
    <t>32PI</t>
  </si>
  <si>
    <t>33Sb</t>
  </si>
  <si>
    <t>34G</t>
  </si>
  <si>
    <t>PENDIDIKAN AGAMA DAN BUDI PEKERTI / BTQ</t>
  </si>
  <si>
    <t>37S</t>
  </si>
  <si>
    <t>44G</t>
  </si>
  <si>
    <t>49B</t>
  </si>
  <si>
    <t>49C</t>
  </si>
  <si>
    <t>50A</t>
  </si>
  <si>
    <t>52F</t>
  </si>
  <si>
    <t>53B</t>
  </si>
  <si>
    <t xml:space="preserve">BTQ </t>
  </si>
  <si>
    <t>EKONOMI / SENI BUDAYA</t>
  </si>
  <si>
    <t>54S</t>
  </si>
  <si>
    <t>55F</t>
  </si>
  <si>
    <t>56A</t>
  </si>
  <si>
    <t>57S</t>
  </si>
  <si>
    <t>BTQ/PRAKTEK IBADAH / GEOGRAFI</t>
  </si>
  <si>
    <t>58P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</si>
</sst>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8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Times New Roman"/>
      <family val="1"/>
    </font>
    <font>
      <b/>
      <sz val="14"/>
      <name val="Arial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8"/>
      <name val="Arial Black"/>
      <family val="2"/>
    </font>
    <font>
      <sz val="11"/>
      <name val="Arial Black"/>
      <family val="2"/>
    </font>
    <font>
      <sz val="10"/>
      <name val="Arial Black"/>
      <family val="2"/>
    </font>
    <font>
      <b/>
      <sz val="10"/>
      <color rgb="FF000000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b/>
      <sz val="10"/>
      <name val="Calibri"/>
      <family val="2"/>
    </font>
    <font>
      <sz val="14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left" wrapText="1"/>
    </xf>
    <xf numFmtId="0" fontId="3" fillId="0" borderId="8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9" borderId="2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center" vertical="top" wrapText="1"/>
    </xf>
    <xf numFmtId="0" fontId="3" fillId="10" borderId="23" xfId="0" applyFont="1" applyFill="1" applyBorder="1" applyAlignment="1">
      <alignment horizontal="center" vertical="top" wrapText="1"/>
    </xf>
    <xf numFmtId="0" fontId="3" fillId="10" borderId="4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 indent="1"/>
    </xf>
    <xf numFmtId="0" fontId="3" fillId="0" borderId="26" xfId="0" applyFont="1" applyBorder="1" applyAlignment="1">
      <alignment horizontal="center" vertical="center" textRotation="90" wrapText="1"/>
    </xf>
    <xf numFmtId="0" fontId="4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textRotation="90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8" fillId="0" borderId="30" xfId="0" applyFont="1" applyBorder="1" applyAlignment="1">
      <alignment horizontal="center" vertical="center" wrapText="1"/>
    </xf>
    <xf numFmtId="1" fontId="7" fillId="0" borderId="30" xfId="0" applyNumberFormat="1" applyFont="1" applyBorder="1" applyAlignment="1">
      <alignment horizontal="center" vertical="center" shrinkToFit="1"/>
    </xf>
    <xf numFmtId="0" fontId="9" fillId="0" borderId="31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8" fillId="0" borderId="32" xfId="0" applyFont="1" applyBorder="1" applyAlignment="1">
      <alignment horizontal="center" vertical="center" wrapText="1"/>
    </xf>
    <xf numFmtId="1" fontId="11" fillId="0" borderId="32" xfId="0" applyNumberFormat="1" applyFont="1" applyBorder="1" applyAlignment="1">
      <alignment horizontal="center" vertical="center" wrapText="1" shrinkToFit="1"/>
    </xf>
    <xf numFmtId="1" fontId="12" fillId="3" borderId="16" xfId="0" applyNumberFormat="1" applyFont="1" applyFill="1" applyBorder="1" applyAlignment="1">
      <alignment horizontal="center" vertical="center" wrapText="1" shrinkToFit="1"/>
    </xf>
    <xf numFmtId="1" fontId="12" fillId="3" borderId="11" xfId="0" applyNumberFormat="1" applyFont="1" applyFill="1" applyBorder="1" applyAlignment="1">
      <alignment horizontal="center" vertical="center" wrapText="1" shrinkToFit="1"/>
    </xf>
    <xf numFmtId="1" fontId="12" fillId="3" borderId="12" xfId="0" applyNumberFormat="1" applyFont="1" applyFill="1" applyBorder="1" applyAlignment="1">
      <alignment horizontal="center" vertical="center" wrapText="1" shrinkToFit="1"/>
    </xf>
    <xf numFmtId="1" fontId="12" fillId="6" borderId="16" xfId="0" applyNumberFormat="1" applyFont="1" applyFill="1" applyBorder="1" applyAlignment="1">
      <alignment horizontal="center" vertical="center" wrapText="1" shrinkToFit="1"/>
    </xf>
    <xf numFmtId="1" fontId="12" fillId="6" borderId="11" xfId="0" applyNumberFormat="1" applyFont="1" applyFill="1" applyBorder="1" applyAlignment="1">
      <alignment horizontal="center" vertical="center" wrapText="1" shrinkToFit="1"/>
    </xf>
    <xf numFmtId="1" fontId="12" fillId="6" borderId="12" xfId="0" applyNumberFormat="1" applyFont="1" applyFill="1" applyBorder="1" applyAlignment="1">
      <alignment horizontal="center" vertical="center" wrapText="1" shrinkToFit="1"/>
    </xf>
    <xf numFmtId="1" fontId="12" fillId="7" borderId="16" xfId="0" applyNumberFormat="1" applyFont="1" applyFill="1" applyBorder="1" applyAlignment="1">
      <alignment horizontal="center" vertical="center" wrapText="1" shrinkToFit="1"/>
    </xf>
    <xf numFmtId="1" fontId="12" fillId="7" borderId="11" xfId="0" applyNumberFormat="1" applyFont="1" applyFill="1" applyBorder="1" applyAlignment="1">
      <alignment horizontal="center" vertical="center" wrapText="1" shrinkToFit="1"/>
    </xf>
    <xf numFmtId="1" fontId="12" fillId="7" borderId="12" xfId="0" applyNumberFormat="1" applyFont="1" applyFill="1" applyBorder="1" applyAlignment="1">
      <alignment horizontal="center" vertical="center" wrapText="1" shrinkToFit="1"/>
    </xf>
    <xf numFmtId="1" fontId="12" fillId="8" borderId="16" xfId="0" applyNumberFormat="1" applyFont="1" applyFill="1" applyBorder="1" applyAlignment="1">
      <alignment horizontal="center" vertical="center" wrapText="1" shrinkToFit="1"/>
    </xf>
    <xf numFmtId="1" fontId="12" fillId="8" borderId="11" xfId="0" applyNumberFormat="1" applyFont="1" applyFill="1" applyBorder="1" applyAlignment="1">
      <alignment horizontal="center" vertical="center" wrapText="1" shrinkToFit="1"/>
    </xf>
    <xf numFmtId="1" fontId="12" fillId="8" borderId="12" xfId="0" applyNumberFormat="1" applyFont="1" applyFill="1" applyBorder="1" applyAlignment="1">
      <alignment horizontal="center" vertical="center" wrapText="1" shrinkToFit="1"/>
    </xf>
    <xf numFmtId="1" fontId="12" fillId="9" borderId="16" xfId="0" applyNumberFormat="1" applyFont="1" applyFill="1" applyBorder="1" applyAlignment="1">
      <alignment horizontal="center" vertical="center" wrapText="1" shrinkToFit="1"/>
    </xf>
    <xf numFmtId="1" fontId="12" fillId="9" borderId="11" xfId="0" applyNumberFormat="1" applyFont="1" applyFill="1" applyBorder="1" applyAlignment="1">
      <alignment horizontal="center" vertical="center" wrapText="1" shrinkToFit="1"/>
    </xf>
    <xf numFmtId="1" fontId="12" fillId="9" borderId="12" xfId="0" applyNumberFormat="1" applyFont="1" applyFill="1" applyBorder="1" applyAlignment="1">
      <alignment horizontal="center" vertical="center" wrapText="1" shrinkToFit="1"/>
    </xf>
    <xf numFmtId="1" fontId="12" fillId="10" borderId="10" xfId="0" applyNumberFormat="1" applyFont="1" applyFill="1" applyBorder="1" applyAlignment="1">
      <alignment horizontal="center" vertical="center" wrapText="1" shrinkToFit="1"/>
    </xf>
    <xf numFmtId="1" fontId="12" fillId="10" borderId="11" xfId="0" applyNumberFormat="1" applyFont="1" applyFill="1" applyBorder="1" applyAlignment="1">
      <alignment horizontal="center" vertical="center" wrapText="1" shrinkToFit="1"/>
    </xf>
    <xf numFmtId="1" fontId="12" fillId="10" borderId="12" xfId="0" applyNumberFormat="1" applyFont="1" applyFill="1" applyBorder="1" applyAlignment="1">
      <alignment horizontal="center" vertical="center" wrapText="1" shrinkToFit="1"/>
    </xf>
    <xf numFmtId="1" fontId="11" fillId="0" borderId="0" xfId="0" applyNumberFormat="1" applyFont="1" applyAlignment="1">
      <alignment horizontal="center" vertical="center" wrapText="1" shrinkToFit="1"/>
    </xf>
    <xf numFmtId="0" fontId="8" fillId="0" borderId="9" xfId="0" applyFont="1" applyBorder="1" applyAlignment="1">
      <alignment horizontal="center" vertical="center" wrapText="1"/>
    </xf>
    <xf numFmtId="1" fontId="11" fillId="0" borderId="9" xfId="0" applyNumberFormat="1" applyFont="1" applyBorder="1" applyAlignment="1">
      <alignment horizontal="center" vertical="center" wrapText="1" shrinkToFit="1"/>
    </xf>
    <xf numFmtId="1" fontId="12" fillId="3" borderId="24" xfId="0" applyNumberFormat="1" applyFont="1" applyFill="1" applyBorder="1" applyAlignment="1">
      <alignment horizontal="center" vertical="center" wrapText="1" shrinkToFit="1"/>
    </xf>
    <xf numFmtId="1" fontId="12" fillId="3" borderId="33" xfId="0" applyNumberFormat="1" applyFont="1" applyFill="1" applyBorder="1" applyAlignment="1">
      <alignment horizontal="center" vertical="center" wrapText="1" shrinkToFit="1"/>
    </xf>
    <xf numFmtId="1" fontId="12" fillId="3" borderId="25" xfId="0" applyNumberFormat="1" applyFont="1" applyFill="1" applyBorder="1" applyAlignment="1">
      <alignment horizontal="center" vertical="center" wrapText="1" shrinkToFit="1"/>
    </xf>
    <xf numFmtId="1" fontId="12" fillId="6" borderId="24" xfId="0" applyNumberFormat="1" applyFont="1" applyFill="1" applyBorder="1" applyAlignment="1">
      <alignment horizontal="center" vertical="center" wrapText="1" shrinkToFit="1"/>
    </xf>
    <xf numFmtId="1" fontId="12" fillId="6" borderId="33" xfId="0" applyNumberFormat="1" applyFont="1" applyFill="1" applyBorder="1" applyAlignment="1">
      <alignment horizontal="center" vertical="center" wrapText="1" shrinkToFit="1"/>
    </xf>
    <xf numFmtId="1" fontId="12" fillId="6" borderId="25" xfId="0" applyNumberFormat="1" applyFont="1" applyFill="1" applyBorder="1" applyAlignment="1">
      <alignment horizontal="center" vertical="center" wrapText="1" shrinkToFit="1"/>
    </xf>
    <xf numFmtId="1" fontId="12" fillId="7" borderId="24" xfId="0" applyNumberFormat="1" applyFont="1" applyFill="1" applyBorder="1" applyAlignment="1">
      <alignment horizontal="center" vertical="center" wrapText="1" shrinkToFit="1"/>
    </xf>
    <xf numFmtId="1" fontId="12" fillId="7" borderId="33" xfId="0" applyNumberFormat="1" applyFont="1" applyFill="1" applyBorder="1" applyAlignment="1">
      <alignment horizontal="center" vertical="center" wrapText="1" shrinkToFit="1"/>
    </xf>
    <xf numFmtId="1" fontId="12" fillId="7" borderId="25" xfId="0" applyNumberFormat="1" applyFont="1" applyFill="1" applyBorder="1" applyAlignment="1">
      <alignment horizontal="center" vertical="center" wrapText="1" shrinkToFit="1"/>
    </xf>
    <xf numFmtId="1" fontId="12" fillId="8" borderId="24" xfId="0" applyNumberFormat="1" applyFont="1" applyFill="1" applyBorder="1" applyAlignment="1">
      <alignment horizontal="center" vertical="center" wrapText="1" shrinkToFit="1"/>
    </xf>
    <xf numFmtId="1" fontId="12" fillId="8" borderId="33" xfId="0" applyNumberFormat="1" applyFont="1" applyFill="1" applyBorder="1" applyAlignment="1">
      <alignment horizontal="center" vertical="center" wrapText="1" shrinkToFit="1"/>
    </xf>
    <xf numFmtId="1" fontId="12" fillId="8" borderId="25" xfId="0" applyNumberFormat="1" applyFont="1" applyFill="1" applyBorder="1" applyAlignment="1">
      <alignment horizontal="center" vertical="center" wrapText="1" shrinkToFit="1"/>
    </xf>
    <xf numFmtId="1" fontId="12" fillId="9" borderId="24" xfId="0" applyNumberFormat="1" applyFont="1" applyFill="1" applyBorder="1" applyAlignment="1">
      <alignment horizontal="center" vertical="center" wrapText="1" shrinkToFit="1"/>
    </xf>
    <xf numFmtId="1" fontId="12" fillId="9" borderId="33" xfId="0" applyNumberFormat="1" applyFont="1" applyFill="1" applyBorder="1" applyAlignment="1">
      <alignment horizontal="center" vertical="center" wrapText="1" shrinkToFit="1"/>
    </xf>
    <xf numFmtId="1" fontId="12" fillId="9" borderId="25" xfId="0" applyNumberFormat="1" applyFont="1" applyFill="1" applyBorder="1" applyAlignment="1">
      <alignment horizontal="center" vertical="center" wrapText="1" shrinkToFit="1"/>
    </xf>
    <xf numFmtId="1" fontId="12" fillId="10" borderId="34" xfId="0" applyNumberFormat="1" applyFont="1" applyFill="1" applyBorder="1" applyAlignment="1">
      <alignment horizontal="center" vertical="center" wrapText="1" shrinkToFit="1"/>
    </xf>
    <xf numFmtId="1" fontId="12" fillId="10" borderId="33" xfId="0" applyNumberFormat="1" applyFont="1" applyFill="1" applyBorder="1" applyAlignment="1">
      <alignment horizontal="center" vertical="center" wrapText="1" shrinkToFit="1"/>
    </xf>
    <xf numFmtId="1" fontId="12" fillId="10" borderId="25" xfId="0" applyNumberFormat="1" applyFont="1" applyFill="1" applyBorder="1" applyAlignment="1">
      <alignment horizontal="center" vertical="center" wrapText="1" shrinkToFit="1"/>
    </xf>
    <xf numFmtId="1" fontId="12" fillId="3" borderId="35" xfId="0" applyNumberFormat="1" applyFont="1" applyFill="1" applyBorder="1" applyAlignment="1">
      <alignment horizontal="center" vertical="center" wrapText="1" shrinkToFit="1"/>
    </xf>
    <xf numFmtId="1" fontId="12" fillId="3" borderId="18" xfId="0" applyNumberFormat="1" applyFont="1" applyFill="1" applyBorder="1" applyAlignment="1">
      <alignment horizontal="center" vertical="center" wrapText="1" shrinkToFit="1"/>
    </xf>
    <xf numFmtId="1" fontId="12" fillId="3" borderId="19" xfId="0" applyNumberFormat="1" applyFont="1" applyFill="1" applyBorder="1" applyAlignment="1">
      <alignment horizontal="center" vertical="center" wrapText="1" shrinkToFit="1"/>
    </xf>
    <xf numFmtId="1" fontId="12" fillId="6" borderId="35" xfId="0" applyNumberFormat="1" applyFont="1" applyFill="1" applyBorder="1" applyAlignment="1">
      <alignment horizontal="center" vertical="center" wrapText="1" shrinkToFit="1"/>
    </xf>
    <xf numFmtId="1" fontId="12" fillId="6" borderId="18" xfId="0" applyNumberFormat="1" applyFont="1" applyFill="1" applyBorder="1" applyAlignment="1">
      <alignment horizontal="center" vertical="center" wrapText="1" shrinkToFit="1"/>
    </xf>
    <xf numFmtId="1" fontId="12" fillId="6" borderId="19" xfId="0" applyNumberFormat="1" applyFont="1" applyFill="1" applyBorder="1" applyAlignment="1">
      <alignment horizontal="center" vertical="center" wrapText="1" shrinkToFit="1"/>
    </xf>
    <xf numFmtId="1" fontId="12" fillId="7" borderId="35" xfId="0" applyNumberFormat="1" applyFont="1" applyFill="1" applyBorder="1" applyAlignment="1">
      <alignment horizontal="center" vertical="center" wrapText="1" shrinkToFit="1"/>
    </xf>
    <xf numFmtId="1" fontId="12" fillId="7" borderId="18" xfId="0" applyNumberFormat="1" applyFont="1" applyFill="1" applyBorder="1" applyAlignment="1">
      <alignment horizontal="center" vertical="center" wrapText="1" shrinkToFit="1"/>
    </xf>
    <xf numFmtId="1" fontId="12" fillId="7" borderId="19" xfId="0" applyNumberFormat="1" applyFont="1" applyFill="1" applyBorder="1" applyAlignment="1">
      <alignment horizontal="center" vertical="center" wrapText="1" shrinkToFit="1"/>
    </xf>
    <xf numFmtId="1" fontId="12" fillId="8" borderId="35" xfId="0" applyNumberFormat="1" applyFont="1" applyFill="1" applyBorder="1" applyAlignment="1">
      <alignment horizontal="center" vertical="center" wrapText="1" shrinkToFit="1"/>
    </xf>
    <xf numFmtId="1" fontId="12" fillId="8" borderId="18" xfId="0" applyNumberFormat="1" applyFont="1" applyFill="1" applyBorder="1" applyAlignment="1">
      <alignment horizontal="center" vertical="center" wrapText="1" shrinkToFit="1"/>
    </xf>
    <xf numFmtId="1" fontId="12" fillId="8" borderId="19" xfId="0" applyNumberFormat="1" applyFont="1" applyFill="1" applyBorder="1" applyAlignment="1">
      <alignment horizontal="center" vertical="center" wrapText="1" shrinkToFit="1"/>
    </xf>
    <xf numFmtId="1" fontId="12" fillId="9" borderId="35" xfId="0" applyNumberFormat="1" applyFont="1" applyFill="1" applyBorder="1" applyAlignment="1">
      <alignment horizontal="center" vertical="center" wrapText="1" shrinkToFit="1"/>
    </xf>
    <xf numFmtId="1" fontId="12" fillId="9" borderId="18" xfId="0" applyNumberFormat="1" applyFont="1" applyFill="1" applyBorder="1" applyAlignment="1">
      <alignment horizontal="center" vertical="center" wrapText="1" shrinkToFit="1"/>
    </xf>
    <xf numFmtId="1" fontId="12" fillId="9" borderId="19" xfId="0" applyNumberFormat="1" applyFont="1" applyFill="1" applyBorder="1" applyAlignment="1">
      <alignment horizontal="center" vertical="center" wrapText="1" shrinkToFit="1"/>
    </xf>
    <xf numFmtId="1" fontId="12" fillId="10" borderId="17" xfId="0" applyNumberFormat="1" applyFont="1" applyFill="1" applyBorder="1" applyAlignment="1">
      <alignment horizontal="center" vertical="center" wrapText="1" shrinkToFit="1"/>
    </xf>
    <xf numFmtId="1" fontId="12" fillId="10" borderId="18" xfId="0" applyNumberFormat="1" applyFont="1" applyFill="1" applyBorder="1" applyAlignment="1">
      <alignment horizontal="center" vertical="center" wrapText="1" shrinkToFit="1"/>
    </xf>
    <xf numFmtId="1" fontId="12" fillId="10" borderId="19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1" fontId="7" fillId="0" borderId="9" xfId="0" applyNumberFormat="1" applyFont="1" applyBorder="1" applyAlignment="1">
      <alignment horizontal="center" vertical="center" wrapText="1" shrinkToFit="1"/>
    </xf>
    <xf numFmtId="1" fontId="13" fillId="3" borderId="16" xfId="0" applyNumberFormat="1" applyFont="1" applyFill="1" applyBorder="1" applyAlignment="1">
      <alignment horizontal="center" vertical="center" wrapText="1" shrinkToFit="1"/>
    </xf>
    <xf numFmtId="1" fontId="12" fillId="10" borderId="16" xfId="0" applyNumberFormat="1" applyFont="1" applyFill="1" applyBorder="1" applyAlignment="1">
      <alignment horizontal="center" vertical="center" wrapText="1" shrinkToFit="1"/>
    </xf>
    <xf numFmtId="1" fontId="14" fillId="0" borderId="0" xfId="0" applyNumberFormat="1" applyFont="1" applyAlignment="1">
      <alignment horizontal="center" vertical="center" wrapText="1" shrinkToFit="1"/>
    </xf>
    <xf numFmtId="1" fontId="13" fillId="9" borderId="35" xfId="0" applyNumberFormat="1" applyFont="1" applyFill="1" applyBorder="1" applyAlignment="1">
      <alignment horizontal="center" vertical="center" wrapText="1" shrinkToFit="1"/>
    </xf>
    <xf numFmtId="1" fontId="12" fillId="10" borderId="35" xfId="0" applyNumberFormat="1" applyFont="1" applyFill="1" applyBorder="1" applyAlignment="1">
      <alignment horizontal="center" vertical="center" wrapText="1" shrinkToFit="1"/>
    </xf>
    <xf numFmtId="1" fontId="7" fillId="0" borderId="8" xfId="0" applyNumberFormat="1" applyFont="1" applyBorder="1" applyAlignment="1">
      <alignment horizontal="center" vertical="center" wrapText="1" shrinkToFit="1"/>
    </xf>
    <xf numFmtId="1" fontId="13" fillId="8" borderId="12" xfId="0" applyNumberFormat="1" applyFont="1" applyFill="1" applyBorder="1" applyAlignment="1">
      <alignment horizontal="center" vertical="center" wrapText="1" shrinkToFit="1"/>
    </xf>
    <xf numFmtId="1" fontId="12" fillId="10" borderId="24" xfId="0" applyNumberFormat="1" applyFont="1" applyFill="1" applyBorder="1" applyAlignment="1">
      <alignment horizontal="center" vertical="center" wrapText="1" shrinkToFit="1"/>
    </xf>
    <xf numFmtId="0" fontId="8" fillId="0" borderId="39" xfId="0" applyFont="1" applyBorder="1" applyAlignment="1">
      <alignment horizontal="center" vertical="center" wrapText="1"/>
    </xf>
    <xf numFmtId="1" fontId="7" fillId="0" borderId="40" xfId="0" applyNumberFormat="1" applyFont="1" applyBorder="1" applyAlignment="1">
      <alignment horizontal="center" vertical="center" wrapText="1" shrinkToFit="1"/>
    </xf>
    <xf numFmtId="0" fontId="8" fillId="0" borderId="27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1" fillId="2" borderId="37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left" wrapText="1"/>
    </xf>
    <xf numFmtId="0" fontId="0" fillId="2" borderId="37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1" fontId="7" fillId="0" borderId="41" xfId="0" applyNumberFormat="1" applyFont="1" applyBorder="1" applyAlignment="1">
      <alignment horizontal="center" vertical="center" wrapText="1" shrinkToFit="1"/>
    </xf>
    <xf numFmtId="1" fontId="7" fillId="0" borderId="42" xfId="0" applyNumberFormat="1" applyFont="1" applyBorder="1" applyAlignment="1">
      <alignment horizontal="center" vertical="center" wrapText="1" shrinkToFit="1"/>
    </xf>
    <xf numFmtId="0" fontId="3" fillId="0" borderId="42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1" fontId="7" fillId="0" borderId="45" xfId="0" applyNumberFormat="1" applyFont="1" applyBorder="1" applyAlignment="1">
      <alignment horizontal="center" vertical="center" wrapText="1" shrinkToFit="1"/>
    </xf>
    <xf numFmtId="1" fontId="14" fillId="0" borderId="20" xfId="0" applyNumberFormat="1" applyFont="1" applyBorder="1" applyAlignment="1">
      <alignment horizontal="center" vertical="center" wrapText="1" shrinkToFit="1"/>
    </xf>
    <xf numFmtId="1" fontId="14" fillId="0" borderId="21" xfId="0" applyNumberFormat="1" applyFont="1" applyBorder="1" applyAlignment="1">
      <alignment horizontal="center" vertical="center" wrapText="1" shrinkToFit="1"/>
    </xf>
    <xf numFmtId="1" fontId="14" fillId="0" borderId="29" xfId="0" applyNumberFormat="1" applyFont="1" applyBorder="1" applyAlignment="1">
      <alignment horizontal="center" vertical="center" wrapText="1" shrinkToFit="1"/>
    </xf>
    <xf numFmtId="1" fontId="7" fillId="0" borderId="2" xfId="0" applyNumberFormat="1" applyFont="1" applyBorder="1" applyAlignment="1">
      <alignment horizontal="center" vertical="center" wrapText="1" shrinkToFit="1"/>
    </xf>
    <xf numFmtId="1" fontId="12" fillId="3" borderId="10" xfId="0" applyNumberFormat="1" applyFont="1" applyFill="1" applyBorder="1" applyAlignment="1">
      <alignment horizontal="center" vertical="center" wrapText="1" shrinkToFit="1"/>
    </xf>
    <xf numFmtId="1" fontId="12" fillId="3" borderId="34" xfId="0" applyNumberFormat="1" applyFont="1" applyFill="1" applyBorder="1" applyAlignment="1">
      <alignment horizontal="center" vertical="center" wrapText="1" shrinkToFit="1"/>
    </xf>
    <xf numFmtId="1" fontId="12" fillId="3" borderId="17" xfId="0" applyNumberFormat="1" applyFont="1" applyFill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/>
    </xf>
    <xf numFmtId="1" fontId="13" fillId="7" borderId="25" xfId="0" applyNumberFormat="1" applyFont="1" applyFill="1" applyBorder="1" applyAlignment="1">
      <alignment horizontal="center" vertical="center" wrapText="1" shrinkToFit="1"/>
    </xf>
    <xf numFmtId="1" fontId="7" fillId="0" borderId="27" xfId="0" applyNumberFormat="1" applyFont="1" applyBorder="1" applyAlignment="1">
      <alignment horizontal="center" vertical="center" wrapText="1" shrinkToFit="1"/>
    </xf>
    <xf numFmtId="1" fontId="14" fillId="0" borderId="28" xfId="0" applyNumberFormat="1" applyFont="1" applyBorder="1" applyAlignment="1">
      <alignment horizontal="center" vertical="center" wrapText="1" shrinkToFit="1"/>
    </xf>
    <xf numFmtId="0" fontId="3" fillId="0" borderId="34" xfId="0" applyFont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textRotation="90" wrapText="1"/>
    </xf>
    <xf numFmtId="0" fontId="15" fillId="2" borderId="46" xfId="0" applyFont="1" applyFill="1" applyBorder="1" applyAlignment="1">
      <alignment horizontal="center" vertical="top" wrapText="1"/>
    </xf>
    <xf numFmtId="1" fontId="7" fillId="2" borderId="46" xfId="0" applyNumberFormat="1" applyFont="1" applyFill="1" applyBorder="1" applyAlignment="1">
      <alignment horizontal="center" vertical="center" wrapText="1" shrinkToFit="1"/>
    </xf>
    <xf numFmtId="1" fontId="11" fillId="2" borderId="46" xfId="0" applyNumberFormat="1" applyFont="1" applyFill="1" applyBorder="1" applyAlignment="1">
      <alignment horizontal="center" vertical="center" wrapText="1" shrinkToFit="1"/>
    </xf>
    <xf numFmtId="0" fontId="9" fillId="0" borderId="2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1" fontId="7" fillId="0" borderId="45" xfId="0" applyNumberFormat="1" applyFont="1" applyBorder="1" applyAlignment="1">
      <alignment vertical="center" wrapText="1" shrinkToFit="1"/>
    </xf>
    <xf numFmtId="0" fontId="0" fillId="2" borderId="0" xfId="0" applyFill="1" applyAlignment="1">
      <alignment horizontal="left" vertical="top"/>
    </xf>
    <xf numFmtId="0" fontId="0" fillId="2" borderId="47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48" xfId="0" applyFill="1" applyBorder="1" applyAlignment="1">
      <alignment horizontal="left" wrapText="1"/>
    </xf>
    <xf numFmtId="0" fontId="17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vertical="center" wrapText="1"/>
    </xf>
    <xf numFmtId="0" fontId="18" fillId="0" borderId="51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164" fontId="20" fillId="0" borderId="56" xfId="0" applyNumberFormat="1" applyFont="1" applyBorder="1" applyAlignment="1">
      <alignment horizontal="center" vertical="center" shrinkToFit="1"/>
    </xf>
    <xf numFmtId="0" fontId="21" fillId="0" borderId="57" xfId="0" applyFont="1" applyBorder="1" applyAlignment="1">
      <alignment horizontal="left" vertical="center"/>
    </xf>
    <xf numFmtId="0" fontId="21" fillId="0" borderId="58" xfId="0" applyFont="1" applyBorder="1" applyAlignment="1">
      <alignment horizontal="left" vertical="center"/>
    </xf>
    <xf numFmtId="1" fontId="22" fillId="0" borderId="57" xfId="0" applyNumberFormat="1" applyFont="1" applyBorder="1" applyAlignment="1">
      <alignment horizontal="center" vertical="center" shrinkToFit="1"/>
    </xf>
    <xf numFmtId="0" fontId="21" fillId="0" borderId="33" xfId="0" applyFont="1" applyBorder="1" applyAlignment="1">
      <alignment horizontal="left" vertical="center"/>
    </xf>
    <xf numFmtId="1" fontId="22" fillId="0" borderId="58" xfId="0" applyNumberFormat="1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left" vertical="center"/>
    </xf>
    <xf numFmtId="0" fontId="21" fillId="0" borderId="60" xfId="0" applyFont="1" applyBorder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1" fontId="20" fillId="0" borderId="56" xfId="0" applyNumberFormat="1" applyFont="1" applyBorder="1" applyAlignment="1">
      <alignment horizontal="center" vertical="center" shrinkToFit="1"/>
    </xf>
    <xf numFmtId="1" fontId="20" fillId="0" borderId="0" xfId="0" applyNumberFormat="1" applyFont="1" applyAlignment="1">
      <alignment horizontal="center" vertical="top" shrinkToFit="1"/>
    </xf>
    <xf numFmtId="1" fontId="20" fillId="0" borderId="61" xfId="0" applyNumberFormat="1" applyFont="1" applyBorder="1" applyAlignment="1">
      <alignment horizontal="center" vertical="center" shrinkToFit="1"/>
    </xf>
    <xf numFmtId="0" fontId="21" fillId="0" borderId="62" xfId="0" applyFont="1" applyBorder="1" applyAlignment="1">
      <alignment horizontal="left" vertical="center"/>
    </xf>
    <xf numFmtId="0" fontId="21" fillId="0" borderId="63" xfId="0" applyFont="1" applyBorder="1" applyAlignment="1">
      <alignment horizontal="left" vertical="center"/>
    </xf>
    <xf numFmtId="1" fontId="22" fillId="0" borderId="62" xfId="0" applyNumberFormat="1" applyFont="1" applyBorder="1" applyAlignment="1">
      <alignment horizontal="center" vertical="center" shrinkToFit="1"/>
    </xf>
    <xf numFmtId="0" fontId="21" fillId="0" borderId="18" xfId="0" applyFont="1" applyBorder="1" applyAlignment="1">
      <alignment horizontal="left" vertical="center"/>
    </xf>
    <xf numFmtId="1" fontId="22" fillId="0" borderId="63" xfId="0" applyNumberFormat="1" applyFont="1" applyBorder="1" applyAlignment="1">
      <alignment horizontal="center" vertical="center" shrinkToFit="1"/>
    </xf>
    <xf numFmtId="0" fontId="21" fillId="0" borderId="64" xfId="0" applyFont="1" applyBorder="1" applyAlignment="1">
      <alignment horizontal="left" vertical="center"/>
    </xf>
    <xf numFmtId="0" fontId="21" fillId="0" borderId="65" xfId="0" applyFont="1" applyBorder="1" applyAlignment="1">
      <alignment horizontal="left" vertical="center"/>
    </xf>
    <xf numFmtId="0" fontId="2" fillId="0" borderId="66" xfId="0" applyFont="1" applyBorder="1" applyAlignment="1">
      <alignment horizontal="center" vertical="top" wrapText="1"/>
    </xf>
    <xf numFmtId="0" fontId="2" fillId="0" borderId="43" xfId="0" applyFont="1" applyBorder="1" applyAlignment="1">
      <alignment horizontal="center" vertical="top" wrapText="1"/>
    </xf>
    <xf numFmtId="0" fontId="2" fillId="0" borderId="6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4" fillId="0" borderId="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top" wrapText="1" indent="3"/>
    </xf>
    <xf numFmtId="0" fontId="26" fillId="0" borderId="0" xfId="0" applyFont="1" applyAlignment="1">
      <alignment horizontal="left" vertical="top" wrapText="1" indent="3"/>
    </xf>
    <xf numFmtId="0" fontId="27" fillId="0" borderId="6" xfId="0" applyFont="1" applyBorder="1" applyAlignment="1">
      <alignment horizontal="left" vertical="top" wrapText="1" indent="4"/>
    </xf>
    <xf numFmtId="0" fontId="27" fillId="0" borderId="7" xfId="0" applyFont="1" applyBorder="1" applyAlignment="1">
      <alignment horizontal="left" vertical="top" wrapText="1" indent="4"/>
    </xf>
    <xf numFmtId="0" fontId="23" fillId="0" borderId="68" xfId="0" applyFont="1" applyBorder="1" applyAlignment="1">
      <alignment vertical="top" wrapText="1"/>
    </xf>
    <xf numFmtId="0" fontId="23" fillId="0" borderId="6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top" wrapText="1"/>
    </xf>
    <xf numFmtId="0" fontId="23" fillId="0" borderId="69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164" fontId="20" fillId="0" borderId="33" xfId="0" applyNumberFormat="1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left" vertical="top" wrapText="1"/>
    </xf>
    <xf numFmtId="0" fontId="23" fillId="0" borderId="33" xfId="0" applyFont="1" applyBorder="1" applyAlignment="1">
      <alignment horizontal="center" vertical="top" wrapText="1"/>
    </xf>
    <xf numFmtId="0" fontId="23" fillId="0" borderId="33" xfId="0" applyFont="1" applyBorder="1" applyAlignment="1">
      <alignment vertical="top" wrapText="1"/>
    </xf>
    <xf numFmtId="0" fontId="25" fillId="0" borderId="33" xfId="0" applyFont="1" applyBorder="1" applyAlignment="1">
      <alignment horizontal="left" vertical="top" wrapText="1" indent="2"/>
    </xf>
    <xf numFmtId="0" fontId="25" fillId="0" borderId="0" xfId="0" applyFont="1" applyAlignment="1">
      <alignment horizontal="left" vertical="top" wrapText="1" indent="2"/>
    </xf>
    <xf numFmtId="164" fontId="20" fillId="0" borderId="33" xfId="0" applyNumberFormat="1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left" vertical="center" wrapText="1"/>
    </xf>
    <xf numFmtId="0" fontId="23" fillId="0" borderId="33" xfId="0" applyFont="1" applyBorder="1" applyAlignment="1">
      <alignment horizontal="center" vertical="top"/>
    </xf>
    <xf numFmtId="0" fontId="23" fillId="0" borderId="33" xfId="0" applyFont="1" applyBorder="1" applyAlignment="1">
      <alignment horizontal="center"/>
    </xf>
    <xf numFmtId="0" fontId="23" fillId="0" borderId="33" xfId="0" applyFont="1" applyBorder="1" applyAlignment="1">
      <alignment horizontal="right" vertical="top" wrapText="1" indent="2"/>
    </xf>
    <xf numFmtId="164" fontId="23" fillId="0" borderId="33" xfId="0" applyNumberFormat="1" applyFont="1" applyBorder="1" applyAlignment="1">
      <alignment horizontal="center" vertical="top" wrapText="1"/>
    </xf>
    <xf numFmtId="0" fontId="26" fillId="0" borderId="33" xfId="0" applyFont="1" applyBorder="1" applyAlignment="1">
      <alignment horizontal="center" vertical="top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YPE%20FLEX\Desktop\PENTING\Semester_2\semester_2.xlsx" TargetMode="External"/><Relationship Id="rId1" Type="http://schemas.openxmlformats.org/officeDocument/2006/relationships/externalLinkPath" Target="/Users/HYPE%20FLEX/Desktop/PENTING/Semester_2/semester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NAN/OneDrive/&#47928;&#49436;/TAHUN%20PELAJARAN%202025-2026/BEBAN%20KERJA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F1"/>
      <sheetName val="DRAF_1"/>
      <sheetName val="DRAF2"/>
      <sheetName val="Sheet1"/>
      <sheetName val="DRAF2 (2)"/>
      <sheetName val="Sheet3"/>
      <sheetName val="Sheet2"/>
      <sheetName val="Sheet1 (2)"/>
      <sheetName val="black_en_white"/>
      <sheetName val="Sheet4"/>
      <sheetName val="black_en_white (2)"/>
      <sheetName val="Sheet5"/>
      <sheetName val="cuma_jadwale"/>
      <sheetName val="Teacher Subject VERT"/>
      <sheetName val="Teacher Schedule  VERT"/>
      <sheetName val="PEMBAGIAN TUGAS GURU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1</v>
          </cell>
          <cell r="B1" t="str">
            <v>Jajat Sudrajat, S.Pd.i,MM.Pd</v>
          </cell>
        </row>
        <row r="2">
          <cell r="A2">
            <v>2</v>
          </cell>
          <cell r="B2" t="str">
            <v>Drs. H. Asep Sopiyandi ,M.Pd</v>
          </cell>
        </row>
        <row r="3">
          <cell r="A3">
            <v>3</v>
          </cell>
          <cell r="B3" t="str">
            <v>Drs. Hasan Basri ,M.Pd</v>
          </cell>
        </row>
        <row r="4">
          <cell r="A4">
            <v>4</v>
          </cell>
          <cell r="B4" t="str">
            <v>Iri Setiawan,  MM.Pd</v>
          </cell>
        </row>
        <row r="5">
          <cell r="A5">
            <v>5</v>
          </cell>
          <cell r="B5" t="str">
            <v>Dra.Hj. Isnaini Nasuka R,M.Pd</v>
          </cell>
        </row>
        <row r="6">
          <cell r="A6">
            <v>6</v>
          </cell>
          <cell r="B6" t="str">
            <v>H. Mulyadi,S.Pd,MM</v>
          </cell>
        </row>
        <row r="7">
          <cell r="A7">
            <v>7</v>
          </cell>
          <cell r="B7" t="str">
            <v>A. Taufik. H, M.Pd</v>
          </cell>
        </row>
        <row r="8">
          <cell r="A8">
            <v>8</v>
          </cell>
          <cell r="B8" t="str">
            <v>Rani Laetamani, S.Pd</v>
          </cell>
        </row>
        <row r="9">
          <cell r="A9">
            <v>9</v>
          </cell>
          <cell r="B9" t="str">
            <v xml:space="preserve">Drs.H. Hawar </v>
          </cell>
        </row>
        <row r="10">
          <cell r="A10">
            <v>10</v>
          </cell>
          <cell r="B10" t="str">
            <v xml:space="preserve">H. Kasir, S.Pd </v>
          </cell>
        </row>
        <row r="11">
          <cell r="A11">
            <v>11</v>
          </cell>
          <cell r="B11" t="str">
            <v>Yayad Ginting, S.IP</v>
          </cell>
        </row>
        <row r="12">
          <cell r="A12">
            <v>12</v>
          </cell>
          <cell r="B12" t="str">
            <v>Hj. Nur Emiliyah, SE</v>
          </cell>
        </row>
        <row r="13">
          <cell r="A13">
            <v>13</v>
          </cell>
          <cell r="B13" t="str">
            <v>Naziyah,S.Pd,M.Pd</v>
          </cell>
        </row>
        <row r="14">
          <cell r="A14">
            <v>14</v>
          </cell>
          <cell r="B14" t="str">
            <v>Arifuddin, S.Pd</v>
          </cell>
        </row>
        <row r="15">
          <cell r="A15">
            <v>15</v>
          </cell>
          <cell r="B15" t="str">
            <v>Hj. Elis Mukhlisah, S.Pd</v>
          </cell>
        </row>
        <row r="16">
          <cell r="A16">
            <v>16</v>
          </cell>
          <cell r="B16" t="str">
            <v>Mukhlish,ST,M.Pd</v>
          </cell>
        </row>
        <row r="17">
          <cell r="A17">
            <v>17</v>
          </cell>
          <cell r="B17" t="str">
            <v>Eer Humairoh, S.Pd</v>
          </cell>
        </row>
        <row r="18">
          <cell r="A18">
            <v>18</v>
          </cell>
          <cell r="B18" t="str">
            <v>Hj. Maria Ulfah, S.Psi</v>
          </cell>
        </row>
        <row r="19">
          <cell r="A19">
            <v>19</v>
          </cell>
          <cell r="B19" t="str">
            <v>Asep Kurniawan, S.Pd</v>
          </cell>
        </row>
        <row r="20">
          <cell r="A20">
            <v>20</v>
          </cell>
          <cell r="B20" t="str">
            <v>Herni Wahyuni,S.Pd</v>
          </cell>
        </row>
        <row r="21">
          <cell r="A21">
            <v>21</v>
          </cell>
          <cell r="B21" t="str">
            <v>Ihsana Romadlon,S.Pd</v>
          </cell>
        </row>
        <row r="22">
          <cell r="A22">
            <v>22</v>
          </cell>
          <cell r="B22" t="str">
            <v>Enih Sulastri,S.Pd</v>
          </cell>
        </row>
        <row r="23">
          <cell r="A23">
            <v>23</v>
          </cell>
          <cell r="B23" t="str">
            <v>Neng Astry Mediana,S.Pd</v>
          </cell>
        </row>
        <row r="24">
          <cell r="A24">
            <v>24</v>
          </cell>
          <cell r="B24" t="str">
            <v>Iis Khaerunisah,S.Pd</v>
          </cell>
        </row>
        <row r="25">
          <cell r="A25">
            <v>25</v>
          </cell>
          <cell r="B25" t="str">
            <v xml:space="preserve">Prayogo, S.Kom </v>
          </cell>
        </row>
        <row r="26">
          <cell r="A26">
            <v>26</v>
          </cell>
          <cell r="B26" t="str">
            <v>Fikri Burhani,SE</v>
          </cell>
        </row>
        <row r="27">
          <cell r="A27">
            <v>27</v>
          </cell>
          <cell r="B27" t="str">
            <v>Safili,S.Pd</v>
          </cell>
        </row>
        <row r="28">
          <cell r="A28">
            <v>28</v>
          </cell>
          <cell r="B28" t="str">
            <v>Sri Zuniar Ningsih,S.H</v>
          </cell>
        </row>
        <row r="29">
          <cell r="A29">
            <v>29</v>
          </cell>
          <cell r="B29" t="str">
            <v>Nur Kholifah,S.Pd,M.Pd</v>
          </cell>
        </row>
        <row r="30">
          <cell r="A30">
            <v>30</v>
          </cell>
          <cell r="B30" t="str">
            <v>Widowati, S.Pd</v>
          </cell>
        </row>
        <row r="31">
          <cell r="A31">
            <v>31</v>
          </cell>
          <cell r="B31" t="str">
            <v>Rahmatullah,S.Pd</v>
          </cell>
        </row>
        <row r="32">
          <cell r="A32">
            <v>32</v>
          </cell>
          <cell r="B32" t="str">
            <v>Ihah Musliha, S.Sos</v>
          </cell>
        </row>
        <row r="33">
          <cell r="A33">
            <v>33</v>
          </cell>
          <cell r="B33" t="str">
            <v>Anisatul Hathroh,S.Pd</v>
          </cell>
        </row>
        <row r="34">
          <cell r="A34">
            <v>34</v>
          </cell>
          <cell r="B34" t="str">
            <v>Aulia Rahmawati,S.Pd</v>
          </cell>
        </row>
        <row r="35">
          <cell r="A35">
            <v>35</v>
          </cell>
          <cell r="B35" t="str">
            <v>Yola Robihatul Azhar,S.Pd</v>
          </cell>
        </row>
        <row r="36">
          <cell r="A36">
            <v>36</v>
          </cell>
          <cell r="B36" t="str">
            <v>Ali Sudirman,S.Pd</v>
          </cell>
        </row>
        <row r="37">
          <cell r="A37">
            <v>37</v>
          </cell>
          <cell r="B37" t="str">
            <v>Fahrudin, S.Pd</v>
          </cell>
        </row>
        <row r="38">
          <cell r="A38">
            <v>38</v>
          </cell>
          <cell r="B38" t="str">
            <v>Hainina,S.Pd</v>
          </cell>
        </row>
        <row r="39">
          <cell r="A39">
            <v>39</v>
          </cell>
          <cell r="B39" t="str">
            <v xml:space="preserve">Eri Fatori, S.Kom </v>
          </cell>
        </row>
        <row r="40">
          <cell r="A40">
            <v>40</v>
          </cell>
          <cell r="B40" t="str">
            <v>Lutfah, ST</v>
          </cell>
        </row>
        <row r="41">
          <cell r="A41">
            <v>41</v>
          </cell>
          <cell r="B41" t="str">
            <v>M.Fatkhul Alam  Ori,S.Pd</v>
          </cell>
        </row>
        <row r="42">
          <cell r="A42">
            <v>42</v>
          </cell>
          <cell r="B42" t="str">
            <v>Yunda Walida P,S.Pd</v>
          </cell>
        </row>
        <row r="43">
          <cell r="A43">
            <v>43</v>
          </cell>
          <cell r="B43" t="str">
            <v xml:space="preserve">Patmawati,S.Pd </v>
          </cell>
        </row>
        <row r="44">
          <cell r="A44">
            <v>44</v>
          </cell>
          <cell r="B44" t="str">
            <v>Ifat Kasyifaturrohmah,M.Pd</v>
          </cell>
        </row>
        <row r="45">
          <cell r="A45">
            <v>45</v>
          </cell>
          <cell r="B45" t="str">
            <v>Veni Sri Nurlita Sari,S.Pd</v>
          </cell>
        </row>
        <row r="46">
          <cell r="A46">
            <v>46</v>
          </cell>
          <cell r="B46" t="str">
            <v>Munawaroh,S.Pd</v>
          </cell>
        </row>
        <row r="47">
          <cell r="A47">
            <v>47</v>
          </cell>
          <cell r="B47" t="str">
            <v>Amimah,SM</v>
          </cell>
        </row>
        <row r="48">
          <cell r="A48">
            <v>48</v>
          </cell>
          <cell r="B48" t="str">
            <v>Rosalina,S.Pd</v>
          </cell>
        </row>
        <row r="49">
          <cell r="A49">
            <v>49</v>
          </cell>
          <cell r="B49" t="str">
            <v>Nurul Anwar,S.Pd</v>
          </cell>
        </row>
        <row r="50">
          <cell r="A50">
            <v>50</v>
          </cell>
          <cell r="B50" t="str">
            <v>Fina Faelasufatunnajah,M.Pd</v>
          </cell>
        </row>
        <row r="51">
          <cell r="A51">
            <v>51</v>
          </cell>
          <cell r="B51" t="str">
            <v>Eva Muzdalifah,S.Psi</v>
          </cell>
        </row>
        <row r="52">
          <cell r="A52">
            <v>52</v>
          </cell>
          <cell r="B52" t="str">
            <v>Muhamad Sopiyudin,S.Pd</v>
          </cell>
        </row>
        <row r="53">
          <cell r="A53">
            <v>53</v>
          </cell>
          <cell r="B53" t="str">
            <v>Peri Sadewo,S.Pd</v>
          </cell>
        </row>
        <row r="54">
          <cell r="A54">
            <v>54</v>
          </cell>
          <cell r="B54" t="str">
            <v>H. Khaerudin, M.Pd</v>
          </cell>
        </row>
      </sheetData>
      <sheetData sheetId="6"/>
      <sheetData sheetId="7"/>
      <sheetData sheetId="8"/>
      <sheetData sheetId="9"/>
      <sheetData sheetId="10"/>
      <sheetData sheetId="11">
        <row r="1">
          <cell r="A1">
            <v>1</v>
          </cell>
          <cell r="B1" t="str">
            <v>Edi Kocowahono, S.Pd, MM</v>
          </cell>
        </row>
        <row r="2">
          <cell r="A2">
            <v>2</v>
          </cell>
          <cell r="B2" t="str">
            <v>Drs. H. Asep Sopiyandi ,M.Pd</v>
          </cell>
        </row>
        <row r="3">
          <cell r="A3">
            <v>3</v>
          </cell>
          <cell r="B3" t="str">
            <v>Drs. Hasan Basri ,M.Pd</v>
          </cell>
        </row>
        <row r="4">
          <cell r="A4">
            <v>4</v>
          </cell>
          <cell r="B4" t="str">
            <v>Iri Setiawan,  MM.Pd</v>
          </cell>
        </row>
        <row r="5">
          <cell r="A5">
            <v>5</v>
          </cell>
          <cell r="B5" t="str">
            <v>Dra.Hj. Isnaini Nasuka R,M.Pd</v>
          </cell>
        </row>
        <row r="6">
          <cell r="A6">
            <v>6</v>
          </cell>
          <cell r="B6" t="str">
            <v>H. Mulyadi,S.Pd,MM</v>
          </cell>
        </row>
        <row r="7">
          <cell r="A7">
            <v>7</v>
          </cell>
          <cell r="B7" t="str">
            <v>A. Taufik. H, M.Pd</v>
          </cell>
        </row>
        <row r="8">
          <cell r="A8">
            <v>8</v>
          </cell>
          <cell r="B8" t="str">
            <v>Rani Laetamani, S.Pd</v>
          </cell>
        </row>
        <row r="9">
          <cell r="A9">
            <v>9</v>
          </cell>
          <cell r="B9" t="str">
            <v xml:space="preserve">Drs.H. Hawar </v>
          </cell>
        </row>
        <row r="10">
          <cell r="A10">
            <v>10</v>
          </cell>
          <cell r="B10" t="str">
            <v xml:space="preserve">H. Kasir, S.Pd </v>
          </cell>
        </row>
        <row r="11">
          <cell r="A11">
            <v>11</v>
          </cell>
          <cell r="B11" t="str">
            <v>Yayad Ginting, S.IP</v>
          </cell>
        </row>
        <row r="12">
          <cell r="A12">
            <v>12</v>
          </cell>
          <cell r="B12" t="str">
            <v>Hj. Nur Emiliyah, SE</v>
          </cell>
        </row>
        <row r="13">
          <cell r="A13">
            <v>13</v>
          </cell>
          <cell r="B13" t="str">
            <v>Naziyah,S.Pd,M.Pd</v>
          </cell>
        </row>
        <row r="14">
          <cell r="A14">
            <v>14</v>
          </cell>
          <cell r="B14" t="str">
            <v>Arifuddin, S.Pd</v>
          </cell>
        </row>
        <row r="15">
          <cell r="A15">
            <v>15</v>
          </cell>
          <cell r="B15" t="str">
            <v>Hj. Elis Mukhlisah, S.Pd</v>
          </cell>
        </row>
        <row r="16">
          <cell r="A16">
            <v>16</v>
          </cell>
          <cell r="B16" t="str">
            <v>Mukhlish,ST,M.Pd</v>
          </cell>
        </row>
        <row r="17">
          <cell r="A17">
            <v>17</v>
          </cell>
          <cell r="B17" t="str">
            <v>Eer Humairoh, S.Pd</v>
          </cell>
        </row>
        <row r="18">
          <cell r="A18">
            <v>18</v>
          </cell>
          <cell r="B18" t="str">
            <v>Hj. Mariya Ulfah, S.Psi</v>
          </cell>
        </row>
        <row r="19">
          <cell r="A19">
            <v>19</v>
          </cell>
          <cell r="B19" t="str">
            <v>Asep Kurniawan, S.Pd</v>
          </cell>
        </row>
        <row r="20">
          <cell r="A20">
            <v>20</v>
          </cell>
          <cell r="B20" t="str">
            <v>Herni Wahyuni,S.Pd</v>
          </cell>
        </row>
        <row r="21">
          <cell r="A21">
            <v>21</v>
          </cell>
          <cell r="B21" t="str">
            <v>Ihsana Romadlon,S.Pd</v>
          </cell>
        </row>
        <row r="22">
          <cell r="A22">
            <v>22</v>
          </cell>
          <cell r="B22" t="str">
            <v>Enih Sulastri,S.Pd</v>
          </cell>
        </row>
        <row r="23">
          <cell r="A23">
            <v>23</v>
          </cell>
          <cell r="B23" t="str">
            <v>Neng Astry Mediana,S.Pd, M.Pd</v>
          </cell>
        </row>
        <row r="24">
          <cell r="A24">
            <v>24</v>
          </cell>
          <cell r="B24" t="str">
            <v>Iis Khaerunisah,S.Pd</v>
          </cell>
        </row>
        <row r="25">
          <cell r="A25">
            <v>25</v>
          </cell>
          <cell r="B25" t="str">
            <v xml:space="preserve">Prayogo, S.Kom </v>
          </cell>
        </row>
        <row r="26">
          <cell r="A26">
            <v>26</v>
          </cell>
          <cell r="B26" t="str">
            <v>Safili,S.Pd</v>
          </cell>
        </row>
        <row r="27">
          <cell r="A27">
            <v>27</v>
          </cell>
          <cell r="B27" t="str">
            <v>Fikri Burhani,SE</v>
          </cell>
        </row>
        <row r="28">
          <cell r="A28">
            <v>28</v>
          </cell>
          <cell r="B28" t="str">
            <v>Sri Zuniar Ningsih,S.H</v>
          </cell>
        </row>
        <row r="29">
          <cell r="A29">
            <v>29</v>
          </cell>
          <cell r="B29" t="str">
            <v>Nur Kholifah,S.Pd,M.Pd</v>
          </cell>
        </row>
        <row r="30">
          <cell r="A30">
            <v>30</v>
          </cell>
          <cell r="B30" t="str">
            <v>Widowati, S.Pd</v>
          </cell>
        </row>
        <row r="31">
          <cell r="A31">
            <v>31</v>
          </cell>
          <cell r="B31" t="str">
            <v>Rahmatullah,S.Pd</v>
          </cell>
        </row>
        <row r="32">
          <cell r="A32">
            <v>32</v>
          </cell>
          <cell r="B32" t="str">
            <v>Hj. Fatmawati, S.Hum, M.Pd</v>
          </cell>
        </row>
        <row r="33">
          <cell r="A33">
            <v>33</v>
          </cell>
          <cell r="B33" t="str">
            <v>Nurjannah Triastuti Rahajeng, S.Hi</v>
          </cell>
        </row>
        <row r="34">
          <cell r="A34">
            <v>34</v>
          </cell>
          <cell r="B34" t="str">
            <v>Iha Musliha, S.Sos</v>
          </cell>
        </row>
        <row r="35">
          <cell r="A35">
            <v>35</v>
          </cell>
          <cell r="B35" t="str">
            <v>Nurul Anwar, S.Pd</v>
          </cell>
        </row>
        <row r="36">
          <cell r="A36">
            <v>36</v>
          </cell>
          <cell r="B36" t="str">
            <v>Anisatul Hathroh, S.Pd</v>
          </cell>
        </row>
        <row r="37">
          <cell r="A37">
            <v>37</v>
          </cell>
          <cell r="B37" t="str">
            <v>Rokilah, S.Hum</v>
          </cell>
        </row>
        <row r="38">
          <cell r="A38">
            <v>38</v>
          </cell>
          <cell r="B38" t="str">
            <v>Rahmat Qurniawan, SE</v>
          </cell>
        </row>
        <row r="39">
          <cell r="A39">
            <v>39</v>
          </cell>
          <cell r="B39" t="str">
            <v>Ali Sudirman, S.Pd</v>
          </cell>
        </row>
        <row r="40">
          <cell r="A40">
            <v>40</v>
          </cell>
          <cell r="B40" t="str">
            <v>Mukhlisin, SE</v>
          </cell>
        </row>
        <row r="41">
          <cell r="A41">
            <v>41</v>
          </cell>
          <cell r="B41" t="str">
            <v>Patmawati, S.Pd.I, M.Pd</v>
          </cell>
        </row>
        <row r="42">
          <cell r="A42">
            <v>42</v>
          </cell>
          <cell r="B42" t="str">
            <v>Fahrudin, S.Pd</v>
          </cell>
        </row>
        <row r="43">
          <cell r="A43">
            <v>43</v>
          </cell>
          <cell r="B43" t="str">
            <v>Aulia Rahmawati,S.Pd</v>
          </cell>
        </row>
        <row r="44">
          <cell r="A44">
            <v>44</v>
          </cell>
          <cell r="B44" t="str">
            <v>Fina Faelasufatunnajah, S.Sos, M.Pd</v>
          </cell>
        </row>
        <row r="45">
          <cell r="A45">
            <v>45</v>
          </cell>
          <cell r="B45" t="str">
            <v>Yola Roihatul Azhar S.Pd</v>
          </cell>
        </row>
        <row r="46">
          <cell r="A46">
            <v>46</v>
          </cell>
          <cell r="B46" t="str">
            <v>Eva Muzdalifah, S.Psi</v>
          </cell>
        </row>
        <row r="47">
          <cell r="A47">
            <v>47</v>
          </cell>
          <cell r="B47" t="str">
            <v>Dyah Kartika Sari, S.Pd</v>
          </cell>
        </row>
        <row r="48">
          <cell r="A48">
            <v>48</v>
          </cell>
          <cell r="B48" t="str">
            <v>Nur Fairuz Fatin, S.Pd</v>
          </cell>
        </row>
        <row r="49">
          <cell r="A49">
            <v>49</v>
          </cell>
          <cell r="B49" t="str">
            <v>Lutfah, ST</v>
          </cell>
        </row>
        <row r="50">
          <cell r="A50">
            <v>50</v>
          </cell>
          <cell r="B50" t="str">
            <v>M.Fatkhul Alam  Ori,S.Pd</v>
          </cell>
        </row>
        <row r="51">
          <cell r="A51">
            <v>51</v>
          </cell>
          <cell r="B51" t="str">
            <v>Yunda Walida P,S.Pd</v>
          </cell>
        </row>
        <row r="52">
          <cell r="A52">
            <v>52</v>
          </cell>
          <cell r="B52" t="str">
            <v>Ifat Kasyifaturrohmah,M.Pd</v>
          </cell>
        </row>
        <row r="53">
          <cell r="A53">
            <v>53</v>
          </cell>
          <cell r="B53" t="str">
            <v>Veni Sri Nurlita Sari,S.Pd</v>
          </cell>
        </row>
        <row r="54">
          <cell r="A54">
            <v>54</v>
          </cell>
          <cell r="B54" t="str">
            <v>Amimah,SM</v>
          </cell>
        </row>
        <row r="55">
          <cell r="A55">
            <v>55</v>
          </cell>
          <cell r="B55" t="str">
            <v>Rosalina,S.Pd</v>
          </cell>
        </row>
        <row r="56">
          <cell r="A56">
            <v>56</v>
          </cell>
          <cell r="B56" t="str">
            <v>Muhamad Sopiyudin,S.Pd</v>
          </cell>
        </row>
      </sheetData>
      <sheetData sheetId="12">
        <row r="66">
          <cell r="A66" t="str">
            <v>BERLAKU MULAI TANGGAL 12 JANUARI 2026</v>
          </cell>
        </row>
      </sheetData>
      <sheetData sheetId="13">
        <row r="7">
          <cell r="G7" t="str">
            <v xml:space="preserve">53 MTK </v>
          </cell>
          <cell r="H7" t="str">
            <v>52 ENG</v>
          </cell>
          <cell r="I7" t="str">
            <v>3 B.IND</v>
          </cell>
          <cell r="J7" t="str">
            <v>40 ENG</v>
          </cell>
          <cell r="K7" t="str">
            <v>49 KIM</v>
          </cell>
          <cell r="L7" t="str">
            <v>39 PJOK</v>
          </cell>
          <cell r="M7" t="str">
            <v>33 EKO</v>
          </cell>
          <cell r="N7" t="str">
            <v>32 BTQ</v>
          </cell>
          <cell r="O7" t="str">
            <v>11 SOS</v>
          </cell>
          <cell r="P7" t="str">
            <v>28 PKn</v>
          </cell>
          <cell r="Q7" t="str">
            <v>38 PKWU</v>
          </cell>
          <cell r="R7" t="str">
            <v>9 B.IND</v>
          </cell>
          <cell r="S7" t="str">
            <v xml:space="preserve">22 MTK </v>
          </cell>
          <cell r="T7" t="str">
            <v xml:space="preserve">55 MTK </v>
          </cell>
          <cell r="U7" t="str">
            <v>42 PJOK</v>
          </cell>
          <cell r="V7" t="str">
            <v>37 SEJ</v>
          </cell>
          <cell r="W7" t="str">
            <v>34 SOS</v>
          </cell>
          <cell r="X7" t="str">
            <v>41 PAI</v>
          </cell>
          <cell r="Y7" t="str">
            <v>29 BIO</v>
          </cell>
          <cell r="Z7" t="str">
            <v>54 EKO</v>
          </cell>
          <cell r="AA7" t="str">
            <v>16 KIM</v>
          </cell>
          <cell r="AB7" t="str">
            <v>43 MTL</v>
          </cell>
          <cell r="AC7" t="str">
            <v>26 PJOK</v>
          </cell>
          <cell r="AD7" t="str">
            <v>13 SEJ</v>
          </cell>
          <cell r="AE7" t="str">
            <v>17 PKn</v>
          </cell>
          <cell r="AF7" t="str">
            <v>56 BIO</v>
          </cell>
          <cell r="AG7" t="str">
            <v xml:space="preserve">20 MTK </v>
          </cell>
          <cell r="AH7" t="str">
            <v>15 BIO</v>
          </cell>
          <cell r="AI7" t="str">
            <v>36 ENG</v>
          </cell>
          <cell r="AJ7" t="str">
            <v>51 B.IND</v>
          </cell>
        </row>
        <row r="8">
          <cell r="G8" t="str">
            <v xml:space="preserve">53 MTK </v>
          </cell>
          <cell r="H8" t="str">
            <v>52 ENG</v>
          </cell>
          <cell r="I8" t="str">
            <v>3 B.IND</v>
          </cell>
          <cell r="J8" t="str">
            <v>40 ENG</v>
          </cell>
          <cell r="K8" t="str">
            <v>49 KIM</v>
          </cell>
          <cell r="L8" t="str">
            <v>39 PJOK</v>
          </cell>
          <cell r="M8" t="str">
            <v>33 EKO</v>
          </cell>
          <cell r="N8" t="str">
            <v>32 BTQ</v>
          </cell>
          <cell r="O8" t="str">
            <v>11 SOS</v>
          </cell>
          <cell r="P8" t="str">
            <v>28 PKn</v>
          </cell>
          <cell r="Q8" t="str">
            <v>38 PKWU</v>
          </cell>
          <cell r="R8" t="str">
            <v>9 B.IND</v>
          </cell>
          <cell r="S8" t="str">
            <v xml:space="preserve">22 MTK </v>
          </cell>
          <cell r="T8" t="str">
            <v xml:space="preserve">55 MTK </v>
          </cell>
          <cell r="U8" t="str">
            <v>42 PJOK</v>
          </cell>
          <cell r="V8" t="str">
            <v>37 SEJ</v>
          </cell>
          <cell r="W8" t="str">
            <v>34 SOS</v>
          </cell>
          <cell r="X8" t="str">
            <v>41 PAI</v>
          </cell>
          <cell r="Y8" t="str">
            <v>29 BIO</v>
          </cell>
          <cell r="Z8" t="str">
            <v>54 EKO</v>
          </cell>
          <cell r="AA8" t="str">
            <v>16 KIM</v>
          </cell>
          <cell r="AB8" t="str">
            <v>43 MTL</v>
          </cell>
          <cell r="AC8" t="str">
            <v>26 PJOK</v>
          </cell>
          <cell r="AD8" t="str">
            <v>13 SEJ</v>
          </cell>
          <cell r="AE8" t="str">
            <v>17 PKn</v>
          </cell>
          <cell r="AF8" t="str">
            <v>56 BIO</v>
          </cell>
          <cell r="AG8" t="str">
            <v xml:space="preserve">20 MTK </v>
          </cell>
          <cell r="AH8" t="str">
            <v>15 BIO</v>
          </cell>
          <cell r="AI8" t="str">
            <v>36 ENG</v>
          </cell>
          <cell r="AJ8" t="str">
            <v>51 B.IND</v>
          </cell>
        </row>
        <row r="9">
          <cell r="G9" t="str">
            <v xml:space="preserve">53 MTK </v>
          </cell>
          <cell r="H9" t="str">
            <v>52 ENG</v>
          </cell>
          <cell r="I9" t="str">
            <v>30 KIM</v>
          </cell>
          <cell r="J9" t="str">
            <v>40 ENG</v>
          </cell>
          <cell r="K9" t="str">
            <v>49 KIM</v>
          </cell>
          <cell r="L9" t="str">
            <v>39 PJOK</v>
          </cell>
          <cell r="M9" t="str">
            <v>33 EKO</v>
          </cell>
          <cell r="N9" t="str">
            <v>24 GEO</v>
          </cell>
          <cell r="O9" t="str">
            <v>34 GEO</v>
          </cell>
          <cell r="P9" t="str">
            <v>2 FSK</v>
          </cell>
          <cell r="Q9" t="str">
            <v xml:space="preserve">22 MTK </v>
          </cell>
          <cell r="R9" t="str">
            <v>10 PAI</v>
          </cell>
          <cell r="S9" t="str">
            <v>9 B.IND</v>
          </cell>
          <cell r="T9" t="str">
            <v>50 PJOK</v>
          </cell>
          <cell r="U9" t="str">
            <v>42 PJOK</v>
          </cell>
          <cell r="V9" t="str">
            <v>12 EKO</v>
          </cell>
          <cell r="W9" t="str">
            <v>48 INF</v>
          </cell>
          <cell r="X9" t="str">
            <v>41 PAI</v>
          </cell>
          <cell r="Y9" t="str">
            <v>29 BIO</v>
          </cell>
          <cell r="Z9" t="str">
            <v>11 SOS</v>
          </cell>
          <cell r="AA9" t="str">
            <v>7 PAI</v>
          </cell>
          <cell r="AB9" t="str">
            <v>43 MTL</v>
          </cell>
          <cell r="AC9" t="str">
            <v>26 PJOK</v>
          </cell>
          <cell r="AD9" t="str">
            <v>16 KIM</v>
          </cell>
          <cell r="AE9" t="str">
            <v>55 MTL</v>
          </cell>
          <cell r="AF9" t="str">
            <v>56 BIO</v>
          </cell>
          <cell r="AG9" t="str">
            <v xml:space="preserve">20 MTK </v>
          </cell>
          <cell r="AH9" t="str">
            <v>25 INF</v>
          </cell>
          <cell r="AI9" t="str">
            <v>54 EKO</v>
          </cell>
          <cell r="AJ9" t="str">
            <v>51 B.IND</v>
          </cell>
        </row>
        <row r="10">
          <cell r="G10" t="str">
            <v>17 PKn</v>
          </cell>
          <cell r="H10" t="str">
            <v>42 PJOK</v>
          </cell>
          <cell r="I10" t="str">
            <v>30 KIM</v>
          </cell>
          <cell r="J10" t="str">
            <v xml:space="preserve">53 MTK </v>
          </cell>
          <cell r="K10" t="str">
            <v>39 PJOK</v>
          </cell>
          <cell r="L10" t="str">
            <v>3 B.IND</v>
          </cell>
          <cell r="M10" t="str">
            <v>14 FSK</v>
          </cell>
          <cell r="N10" t="str">
            <v>24 GEO</v>
          </cell>
          <cell r="O10" t="str">
            <v>34 GEO</v>
          </cell>
          <cell r="P10" t="str">
            <v>2 FSK</v>
          </cell>
          <cell r="Q10" t="str">
            <v xml:space="preserve">22 MTK </v>
          </cell>
          <cell r="R10" t="str">
            <v>10 PAI</v>
          </cell>
          <cell r="S10" t="str">
            <v>9 B.IND</v>
          </cell>
          <cell r="T10" t="str">
            <v>50 PJOK</v>
          </cell>
          <cell r="U10" t="str">
            <v>32 PI</v>
          </cell>
          <cell r="V10" t="str">
            <v>12 EKO</v>
          </cell>
          <cell r="W10" t="str">
            <v>48 INF</v>
          </cell>
          <cell r="X10" t="str">
            <v>13 SEJ</v>
          </cell>
          <cell r="Y10" t="str">
            <v>33 EKO</v>
          </cell>
          <cell r="Z10" t="str">
            <v>11 SOS</v>
          </cell>
          <cell r="AA10" t="str">
            <v>7 PAI</v>
          </cell>
          <cell r="AB10" t="str">
            <v>26 PJOK</v>
          </cell>
          <cell r="AC10" t="str">
            <v>21 B.IND</v>
          </cell>
          <cell r="AD10" t="str">
            <v>16 KIM</v>
          </cell>
          <cell r="AE10" t="str">
            <v>55 MTL</v>
          </cell>
          <cell r="AF10" t="str">
            <v xml:space="preserve">20 MTK </v>
          </cell>
          <cell r="AG10" t="str">
            <v>6 SOS</v>
          </cell>
          <cell r="AH10" t="str">
            <v>25 INF</v>
          </cell>
          <cell r="AI10" t="str">
            <v>54 EKO</v>
          </cell>
          <cell r="AJ10" t="str">
            <v>49 GEO</v>
          </cell>
        </row>
        <row r="11">
          <cell r="G11" t="str">
            <v>17 PKn</v>
          </cell>
          <cell r="H11" t="str">
            <v>42 PJOK</v>
          </cell>
          <cell r="I11" t="str">
            <v>30 KIM</v>
          </cell>
          <cell r="J11" t="str">
            <v xml:space="preserve">53 MTK </v>
          </cell>
          <cell r="K11" t="str">
            <v>39 PJOK</v>
          </cell>
          <cell r="L11" t="str">
            <v>3 B.IND</v>
          </cell>
          <cell r="M11" t="str">
            <v>14 FSK</v>
          </cell>
          <cell r="N11" t="str">
            <v>51 B.IND</v>
          </cell>
          <cell r="O11" t="str">
            <v>2 FSK</v>
          </cell>
          <cell r="P11" t="str">
            <v xml:space="preserve">55 MTK </v>
          </cell>
          <cell r="Q11" t="str">
            <v>15 BIO</v>
          </cell>
          <cell r="R11" t="str">
            <v>10 PAI</v>
          </cell>
          <cell r="S11" t="str">
            <v>56 BIO</v>
          </cell>
          <cell r="T11" t="str">
            <v>50 PJOK</v>
          </cell>
          <cell r="U11" t="str">
            <v>32 PI</v>
          </cell>
          <cell r="V11" t="str">
            <v>29 BIO</v>
          </cell>
          <cell r="W11" t="str">
            <v>12 EKO</v>
          </cell>
          <cell r="X11" t="str">
            <v>13 SEJ</v>
          </cell>
          <cell r="Y11" t="str">
            <v>33 EKO</v>
          </cell>
          <cell r="Z11" t="str">
            <v>48 INF</v>
          </cell>
          <cell r="AA11" t="str">
            <v>7 PAI</v>
          </cell>
          <cell r="AB11" t="str">
            <v>26 PJOK</v>
          </cell>
          <cell r="AC11" t="str">
            <v>21 B.IND</v>
          </cell>
          <cell r="AD11" t="str">
            <v>25 INF</v>
          </cell>
          <cell r="AE11" t="str">
            <v>16 KIM</v>
          </cell>
          <cell r="AF11" t="str">
            <v xml:space="preserve">20 MTK </v>
          </cell>
          <cell r="AG11" t="str">
            <v>6 SOS</v>
          </cell>
          <cell r="AH11" t="str">
            <v>36 ENG</v>
          </cell>
          <cell r="AI11" t="str">
            <v xml:space="preserve">22 MTK </v>
          </cell>
          <cell r="AJ11" t="str">
            <v>49 GEO</v>
          </cell>
        </row>
        <row r="12">
          <cell r="G12" t="str">
            <v>28 SEJ</v>
          </cell>
          <cell r="H12" t="str">
            <v>42 PJOK</v>
          </cell>
          <cell r="I12" t="str">
            <v>50 PKWU</v>
          </cell>
          <cell r="J12" t="str">
            <v xml:space="preserve">53 MTK </v>
          </cell>
          <cell r="K12" t="str">
            <v>39 PJOK</v>
          </cell>
          <cell r="L12" t="str">
            <v>32 BTQ</v>
          </cell>
          <cell r="M12" t="str">
            <v>24 GEO</v>
          </cell>
          <cell r="N12" t="str">
            <v>51 B.IND</v>
          </cell>
          <cell r="O12" t="str">
            <v>2 FSK</v>
          </cell>
          <cell r="P12" t="str">
            <v xml:space="preserve">55 MTK </v>
          </cell>
          <cell r="Q12" t="str">
            <v>15 BIO</v>
          </cell>
          <cell r="R12" t="str">
            <v>14 FSK</v>
          </cell>
          <cell r="S12" t="str">
            <v>56 BIO</v>
          </cell>
          <cell r="T12" t="str">
            <v>9 B.IND</v>
          </cell>
          <cell r="U12" t="str">
            <v>37 SEJ</v>
          </cell>
          <cell r="V12" t="str">
            <v>29 BIO</v>
          </cell>
          <cell r="W12" t="str">
            <v>12 EKO</v>
          </cell>
          <cell r="X12" t="str">
            <v>11 SOS</v>
          </cell>
          <cell r="Y12" t="str">
            <v>38 PKWU</v>
          </cell>
          <cell r="Z12" t="str">
            <v>48 INF</v>
          </cell>
          <cell r="AA12" t="str">
            <v>17 PKn</v>
          </cell>
          <cell r="AB12" t="str">
            <v>26 PJOK</v>
          </cell>
          <cell r="AC12" t="str">
            <v>21 B.IND</v>
          </cell>
          <cell r="AD12" t="str">
            <v>25 INF</v>
          </cell>
          <cell r="AE12" t="str">
            <v>16 KIM</v>
          </cell>
          <cell r="AF12" t="str">
            <v xml:space="preserve">20 MTK </v>
          </cell>
          <cell r="AG12" t="str">
            <v>13 SEJ</v>
          </cell>
          <cell r="AH12" t="str">
            <v>36 ENG</v>
          </cell>
          <cell r="AI12" t="str">
            <v xml:space="preserve">22 MTK </v>
          </cell>
          <cell r="AJ12" t="str">
            <v>54 EKO</v>
          </cell>
        </row>
        <row r="13">
          <cell r="G13" t="str">
            <v>28 SEJ</v>
          </cell>
          <cell r="H13" t="str">
            <v>12 EKO</v>
          </cell>
          <cell r="I13" t="str">
            <v>50 PKWU</v>
          </cell>
          <cell r="J13" t="str">
            <v>30 KIM</v>
          </cell>
          <cell r="K13" t="str">
            <v xml:space="preserve">53 MTK </v>
          </cell>
          <cell r="L13" t="str">
            <v>32 BTQ</v>
          </cell>
          <cell r="M13" t="str">
            <v>24 GEO</v>
          </cell>
          <cell r="N13" t="str">
            <v>33 EKO</v>
          </cell>
          <cell r="O13" t="str">
            <v>49 KIM</v>
          </cell>
          <cell r="P13" t="str">
            <v xml:space="preserve">55 MTK </v>
          </cell>
          <cell r="Q13" t="str">
            <v>52 ENG</v>
          </cell>
          <cell r="R13" t="str">
            <v>14 FSK</v>
          </cell>
          <cell r="S13" t="str">
            <v>40 ENG</v>
          </cell>
          <cell r="T13" t="str">
            <v>9 B.IND</v>
          </cell>
          <cell r="U13" t="str">
            <v>37 SEJ</v>
          </cell>
          <cell r="V13" t="str">
            <v>29 BIO</v>
          </cell>
          <cell r="W13" t="str">
            <v>41 PAI</v>
          </cell>
          <cell r="X13" t="str">
            <v>11 SOS</v>
          </cell>
          <cell r="Y13" t="str">
            <v>38 PKWU</v>
          </cell>
          <cell r="Z13" t="str">
            <v>36 ENG</v>
          </cell>
          <cell r="AA13" t="str">
            <v>17 PKn</v>
          </cell>
          <cell r="AB13" t="str">
            <v>56 BIO</v>
          </cell>
          <cell r="AC13" t="str">
            <v>2 FSK</v>
          </cell>
          <cell r="AD13" t="str">
            <v>3 B.IND</v>
          </cell>
          <cell r="AE13" t="str">
            <v>10 PAI</v>
          </cell>
          <cell r="AF13" t="str">
            <v>6 SOS</v>
          </cell>
          <cell r="AG13" t="str">
            <v>13 SEJ</v>
          </cell>
          <cell r="AH13" t="str">
            <v>51 B.IND</v>
          </cell>
          <cell r="AI13" t="str">
            <v xml:space="preserve">22 MTK </v>
          </cell>
          <cell r="AJ13" t="str">
            <v>54 EKO</v>
          </cell>
        </row>
        <row r="14">
          <cell r="G14" t="str">
            <v>14 FSK</v>
          </cell>
          <cell r="H14" t="str">
            <v>12 EKO</v>
          </cell>
          <cell r="I14" t="str">
            <v>32 BTQ</v>
          </cell>
          <cell r="J14" t="str">
            <v>30 KIM</v>
          </cell>
          <cell r="K14" t="str">
            <v xml:space="preserve">53 MTK </v>
          </cell>
          <cell r="L14" t="str">
            <v>38 PKWU</v>
          </cell>
          <cell r="M14" t="str">
            <v>28 PKn</v>
          </cell>
          <cell r="N14" t="str">
            <v>33 EKO</v>
          </cell>
          <cell r="O14" t="str">
            <v>49 KIM</v>
          </cell>
          <cell r="P14" t="str">
            <v>50 PKWU</v>
          </cell>
          <cell r="Q14" t="str">
            <v>52 ENG</v>
          </cell>
          <cell r="R14" t="str">
            <v>24 PKn</v>
          </cell>
          <cell r="S14" t="str">
            <v>40 ENG</v>
          </cell>
          <cell r="T14" t="str">
            <v>29 BIO</v>
          </cell>
          <cell r="U14" t="str">
            <v>9 B.IND</v>
          </cell>
          <cell r="V14" t="str">
            <v>34 SOS</v>
          </cell>
          <cell r="W14" t="str">
            <v>41 PAI</v>
          </cell>
          <cell r="X14" t="str">
            <v>48 INF</v>
          </cell>
          <cell r="Y14" t="str">
            <v>11 SOS</v>
          </cell>
          <cell r="Z14" t="str">
            <v>36 ENG</v>
          </cell>
          <cell r="AA14" t="str">
            <v>37 SEJ</v>
          </cell>
          <cell r="AB14" t="str">
            <v>56 BIO</v>
          </cell>
          <cell r="AC14" t="str">
            <v>2 FSK</v>
          </cell>
          <cell r="AD14" t="str">
            <v>3 B.IND</v>
          </cell>
          <cell r="AE14" t="str">
            <v>10 PAI</v>
          </cell>
          <cell r="AF14" t="str">
            <v>6 SOS</v>
          </cell>
          <cell r="AG14" t="str">
            <v>54 EKO</v>
          </cell>
          <cell r="AH14" t="str">
            <v>51 B.IND</v>
          </cell>
          <cell r="AI14" t="str">
            <v>13 SEJ</v>
          </cell>
          <cell r="AJ14" t="str">
            <v>15 BIO</v>
          </cell>
        </row>
        <row r="15">
          <cell r="G15" t="str">
            <v>14 FSK</v>
          </cell>
          <cell r="H15" t="str">
            <v>12 EKO</v>
          </cell>
          <cell r="I15" t="str">
            <v>32 BTQ</v>
          </cell>
          <cell r="J15" t="str">
            <v>30 KIM</v>
          </cell>
          <cell r="K15" t="str">
            <v xml:space="preserve">53 MTK </v>
          </cell>
          <cell r="L15" t="str">
            <v>38 PKWU</v>
          </cell>
          <cell r="M15" t="str">
            <v>28 PKn</v>
          </cell>
          <cell r="N15" t="str">
            <v>33 EKO</v>
          </cell>
          <cell r="O15" t="str">
            <v>49 KIM</v>
          </cell>
          <cell r="P15" t="str">
            <v>50 PKWU</v>
          </cell>
          <cell r="Q15" t="str">
            <v>52 ENG</v>
          </cell>
          <cell r="R15" t="str">
            <v>24 PKn</v>
          </cell>
          <cell r="S15" t="str">
            <v>40 ENG</v>
          </cell>
          <cell r="T15" t="str">
            <v>29 BIO</v>
          </cell>
          <cell r="U15" t="str">
            <v>9 B.IND</v>
          </cell>
          <cell r="V15" t="str">
            <v>34 SOS</v>
          </cell>
          <cell r="W15" t="str">
            <v>41 PAI</v>
          </cell>
          <cell r="X15" t="str">
            <v>48 INF</v>
          </cell>
          <cell r="Y15" t="str">
            <v>11 SOS</v>
          </cell>
          <cell r="Z15" t="str">
            <v>36 ENG</v>
          </cell>
          <cell r="AA15" t="str">
            <v>37 SEJ</v>
          </cell>
          <cell r="AB15" t="str">
            <v>56 BIO</v>
          </cell>
          <cell r="AC15" t="str">
            <v>2 FSK</v>
          </cell>
          <cell r="AD15" t="str">
            <v>3 B.IND</v>
          </cell>
          <cell r="AE15" t="str">
            <v>10 PAI</v>
          </cell>
          <cell r="AF15" t="str">
            <v>6 SOS</v>
          </cell>
          <cell r="AG15" t="str">
            <v>54 EKO</v>
          </cell>
          <cell r="AH15" t="str">
            <v>51 B.IND</v>
          </cell>
          <cell r="AI15" t="str">
            <v>13 SEJ</v>
          </cell>
          <cell r="AJ15" t="str">
            <v>15 BIO</v>
          </cell>
        </row>
        <row r="17">
          <cell r="G17" t="str">
            <v>32 BTQ</v>
          </cell>
          <cell r="H17" t="str">
            <v>17 PKn</v>
          </cell>
          <cell r="I17" t="str">
            <v>35 PAI</v>
          </cell>
          <cell r="J17" t="str">
            <v>56 INF</v>
          </cell>
          <cell r="K17" t="str">
            <v>28 SEJ</v>
          </cell>
          <cell r="L17" t="str">
            <v>40 ENG</v>
          </cell>
          <cell r="M17" t="str">
            <v>37 SEJ</v>
          </cell>
          <cell r="N17" t="str">
            <v>49 KIM</v>
          </cell>
          <cell r="O17" t="str">
            <v>39 PJOK</v>
          </cell>
          <cell r="P17" t="str">
            <v>34 GEO</v>
          </cell>
          <cell r="Q17" t="str">
            <v>48 INF</v>
          </cell>
          <cell r="R17" t="str">
            <v xml:space="preserve">22 MTK </v>
          </cell>
          <cell r="S17" t="str">
            <v>54 EKO</v>
          </cell>
          <cell r="T17" t="str">
            <v>45 SBD</v>
          </cell>
          <cell r="U17" t="str">
            <v>9 B.IND</v>
          </cell>
          <cell r="V17" t="str">
            <v>42 PJOK</v>
          </cell>
          <cell r="W17" t="str">
            <v>12 EKO</v>
          </cell>
          <cell r="X17" t="str">
            <v>29 BIO</v>
          </cell>
          <cell r="Y17" t="str">
            <v>51 B.IND</v>
          </cell>
          <cell r="Z17" t="str">
            <v>38 PKWU</v>
          </cell>
          <cell r="AA17" t="str">
            <v>5 ENG</v>
          </cell>
          <cell r="AB17" t="str">
            <v>7 PAI</v>
          </cell>
          <cell r="AC17" t="str">
            <v xml:space="preserve">20 MTK </v>
          </cell>
          <cell r="AD17" t="str">
            <v>55 MTL</v>
          </cell>
          <cell r="AE17" t="str">
            <v>6 SOS</v>
          </cell>
          <cell r="AF17" t="str">
            <v>13 SEJ</v>
          </cell>
          <cell r="AG17" t="str">
            <v>31 PKn</v>
          </cell>
          <cell r="AH17" t="str">
            <v>47 SBD</v>
          </cell>
          <cell r="AI17" t="str">
            <v>3 B.IND</v>
          </cell>
          <cell r="AJ17" t="str">
            <v>27 PKWU</v>
          </cell>
        </row>
        <row r="18">
          <cell r="G18" t="str">
            <v>32 BTQ</v>
          </cell>
          <cell r="H18" t="str">
            <v>17 PKn</v>
          </cell>
          <cell r="I18" t="str">
            <v>35 PAI</v>
          </cell>
          <cell r="J18" t="str">
            <v>56 INF</v>
          </cell>
          <cell r="K18" t="str">
            <v>28 SEJ</v>
          </cell>
          <cell r="L18" t="str">
            <v>40 ENG</v>
          </cell>
          <cell r="M18" t="str">
            <v>37 SEJ</v>
          </cell>
          <cell r="N18" t="str">
            <v>49 KIM</v>
          </cell>
          <cell r="O18" t="str">
            <v>39 PJOK</v>
          </cell>
          <cell r="P18" t="str">
            <v>34 GEO</v>
          </cell>
          <cell r="Q18" t="str">
            <v>48 INF</v>
          </cell>
          <cell r="R18" t="str">
            <v xml:space="preserve">22 MTK </v>
          </cell>
          <cell r="S18" t="str">
            <v>54 EKO</v>
          </cell>
          <cell r="T18" t="str">
            <v>45 SBD</v>
          </cell>
          <cell r="U18" t="str">
            <v>9 B.IND</v>
          </cell>
          <cell r="V18" t="str">
            <v>42 PJOK</v>
          </cell>
          <cell r="W18" t="str">
            <v>12 EKO</v>
          </cell>
          <cell r="X18" t="str">
            <v>29 BIO</v>
          </cell>
          <cell r="Y18" t="str">
            <v>51 B.IND</v>
          </cell>
          <cell r="Z18" t="str">
            <v>38 PKWU</v>
          </cell>
          <cell r="AA18" t="str">
            <v>5 ENG</v>
          </cell>
          <cell r="AB18" t="str">
            <v>7 PAI</v>
          </cell>
          <cell r="AC18" t="str">
            <v xml:space="preserve">20 MTK </v>
          </cell>
          <cell r="AD18" t="str">
            <v>55 MTL</v>
          </cell>
          <cell r="AE18" t="str">
            <v>6 SOS</v>
          </cell>
          <cell r="AF18" t="str">
            <v>13 SEJ</v>
          </cell>
          <cell r="AG18" t="str">
            <v>31 PKn</v>
          </cell>
          <cell r="AH18" t="str">
            <v>47 SBD</v>
          </cell>
          <cell r="AI18" t="str">
            <v>3 B.IND</v>
          </cell>
          <cell r="AJ18" t="str">
            <v>27 PKWU</v>
          </cell>
        </row>
        <row r="19">
          <cell r="G19" t="str">
            <v>52 ENG</v>
          </cell>
          <cell r="H19" t="str">
            <v xml:space="preserve">53 MTK </v>
          </cell>
          <cell r="I19" t="str">
            <v>12 EKO</v>
          </cell>
          <cell r="J19" t="str">
            <v>35 BTQ</v>
          </cell>
          <cell r="K19" t="str">
            <v>23 BIO</v>
          </cell>
          <cell r="L19" t="str">
            <v>40 ENG</v>
          </cell>
          <cell r="M19" t="str">
            <v>38 PKWU</v>
          </cell>
          <cell r="N19" t="str">
            <v>49 KIM</v>
          </cell>
          <cell r="O19" t="str">
            <v>39 PJOK</v>
          </cell>
          <cell r="P19" t="str">
            <v>37 SEJ</v>
          </cell>
          <cell r="Q19" t="str">
            <v xml:space="preserve">22 MTK </v>
          </cell>
          <cell r="R19" t="str">
            <v>47 SBD</v>
          </cell>
          <cell r="S19" t="str">
            <v>24 PKn</v>
          </cell>
          <cell r="T19" t="str">
            <v>48 INF</v>
          </cell>
          <cell r="U19" t="str">
            <v xml:space="preserve">55 MTK </v>
          </cell>
          <cell r="V19" t="str">
            <v>42 PJOK</v>
          </cell>
          <cell r="W19" t="str">
            <v>28 PKn</v>
          </cell>
          <cell r="X19" t="str">
            <v>29 BIO</v>
          </cell>
          <cell r="Y19" t="str">
            <v>51 B.IND</v>
          </cell>
          <cell r="Z19" t="str">
            <v>54 EKO</v>
          </cell>
          <cell r="AA19" t="str">
            <v>45 SBD</v>
          </cell>
          <cell r="AB19" t="str">
            <v>7 PAI</v>
          </cell>
          <cell r="AC19" t="str">
            <v>17 PKn</v>
          </cell>
          <cell r="AD19" t="str">
            <v>4 BIO</v>
          </cell>
          <cell r="AE19" t="str">
            <v>6 SOS</v>
          </cell>
          <cell r="AF19" t="str">
            <v>2 FSK</v>
          </cell>
          <cell r="AG19" t="str">
            <v>5 ENG</v>
          </cell>
          <cell r="AH19" t="str">
            <v>15 BIO</v>
          </cell>
          <cell r="AI19" t="str">
            <v>3 B.IND</v>
          </cell>
          <cell r="AJ19" t="str">
            <v>13 SEJ</v>
          </cell>
        </row>
        <row r="20">
          <cell r="G20" t="str">
            <v>52 ENG</v>
          </cell>
          <cell r="H20" t="str">
            <v xml:space="preserve">53 MTK </v>
          </cell>
          <cell r="I20" t="str">
            <v>12 EKO</v>
          </cell>
          <cell r="J20" t="str">
            <v>35 BTQ</v>
          </cell>
          <cell r="K20" t="str">
            <v>23 BIO</v>
          </cell>
          <cell r="L20" t="str">
            <v>49 KIM</v>
          </cell>
          <cell r="M20" t="str">
            <v>38 PKWU</v>
          </cell>
          <cell r="N20" t="str">
            <v>39 PJOK</v>
          </cell>
          <cell r="O20" t="str">
            <v>33 EKO</v>
          </cell>
          <cell r="P20" t="str">
            <v>37 SEJ</v>
          </cell>
          <cell r="Q20" t="str">
            <v xml:space="preserve">22 MTK </v>
          </cell>
          <cell r="R20" t="str">
            <v>47 SBD</v>
          </cell>
          <cell r="S20" t="str">
            <v>24 PKn</v>
          </cell>
          <cell r="T20" t="str">
            <v>48 INF</v>
          </cell>
          <cell r="U20" t="str">
            <v xml:space="preserve">55 MTK </v>
          </cell>
          <cell r="V20" t="str">
            <v>34 SOS</v>
          </cell>
          <cell r="W20" t="str">
            <v>28 PKn</v>
          </cell>
          <cell r="X20" t="str">
            <v>31 PKn</v>
          </cell>
          <cell r="Y20" t="str">
            <v>42 PJOK</v>
          </cell>
          <cell r="Z20" t="str">
            <v>54 EKO</v>
          </cell>
          <cell r="AA20" t="str">
            <v>45 SBD</v>
          </cell>
          <cell r="AB20" t="str">
            <v>21 B.IND</v>
          </cell>
          <cell r="AC20" t="str">
            <v>17 PKn</v>
          </cell>
          <cell r="AD20" t="str">
            <v>4 BIO</v>
          </cell>
          <cell r="AE20" t="str">
            <v>27 PKWU</v>
          </cell>
          <cell r="AF20" t="str">
            <v>2 FSK</v>
          </cell>
          <cell r="AG20" t="str">
            <v>5 ENG</v>
          </cell>
          <cell r="AH20" t="str">
            <v>15 BIO</v>
          </cell>
          <cell r="AI20" t="str">
            <v>50 PJOK</v>
          </cell>
          <cell r="AJ20" t="str">
            <v>13 SEJ</v>
          </cell>
        </row>
        <row r="21">
          <cell r="G21" t="str">
            <v>52 ENG</v>
          </cell>
          <cell r="H21" t="str">
            <v xml:space="preserve">53 MTK </v>
          </cell>
          <cell r="I21" t="str">
            <v>12 EKO</v>
          </cell>
          <cell r="J21" t="str">
            <v>17 PKn</v>
          </cell>
          <cell r="K21" t="str">
            <v>23 BIO</v>
          </cell>
          <cell r="L21" t="str">
            <v>49 KIM</v>
          </cell>
          <cell r="M21" t="str">
            <v>45 SBD</v>
          </cell>
          <cell r="N21" t="str">
            <v>39 PJOK</v>
          </cell>
          <cell r="O21" t="str">
            <v>33 EKO</v>
          </cell>
          <cell r="P21" t="str">
            <v>56 INF</v>
          </cell>
          <cell r="Q21" t="str">
            <v>9 B.IND</v>
          </cell>
          <cell r="R21" t="str">
            <v>32 PI</v>
          </cell>
          <cell r="S21" t="str">
            <v xml:space="preserve">22 MTK </v>
          </cell>
          <cell r="T21" t="str">
            <v xml:space="preserve">55 MTK </v>
          </cell>
          <cell r="U21" t="str">
            <v>29 BIO</v>
          </cell>
          <cell r="V21" t="str">
            <v>34 SOS</v>
          </cell>
          <cell r="W21" t="str">
            <v>35 PI</v>
          </cell>
          <cell r="X21" t="str">
            <v>31 PKn</v>
          </cell>
          <cell r="Y21" t="str">
            <v>42 PJOK</v>
          </cell>
          <cell r="Z21" t="str">
            <v>37 SEJ</v>
          </cell>
          <cell r="AA21" t="str">
            <v xml:space="preserve">20 MTK </v>
          </cell>
          <cell r="AB21" t="str">
            <v>21 B.IND</v>
          </cell>
          <cell r="AC21" t="str">
            <v>47 SBD</v>
          </cell>
          <cell r="AD21" t="str">
            <v>4 BIO</v>
          </cell>
          <cell r="AE21" t="str">
            <v>27 PKWU</v>
          </cell>
          <cell r="AF21" t="str">
            <v>2 FSK</v>
          </cell>
          <cell r="AG21" t="str">
            <v>15 BIO</v>
          </cell>
          <cell r="AH21" t="str">
            <v>54 EKO</v>
          </cell>
          <cell r="AI21" t="str">
            <v>50 PJOK</v>
          </cell>
          <cell r="AJ21" t="str">
            <v>6 SOS</v>
          </cell>
        </row>
        <row r="22">
          <cell r="G22" t="str">
            <v>12 EKO</v>
          </cell>
          <cell r="H22" t="str">
            <v>23 BIO</v>
          </cell>
          <cell r="I22" t="str">
            <v xml:space="preserve">53 MTK </v>
          </cell>
          <cell r="J22" t="str">
            <v>17 PKn</v>
          </cell>
          <cell r="K22" t="str">
            <v>40 ENG</v>
          </cell>
          <cell r="L22" t="str">
            <v>49 KIM</v>
          </cell>
          <cell r="M22" t="str">
            <v>45 SBD</v>
          </cell>
          <cell r="N22" t="str">
            <v>39 PJOK</v>
          </cell>
          <cell r="O22" t="str">
            <v>33 EKO</v>
          </cell>
          <cell r="P22" t="str">
            <v>56 INF</v>
          </cell>
          <cell r="Q22" t="str">
            <v>9 B.IND</v>
          </cell>
          <cell r="R22" t="str">
            <v>32 PI</v>
          </cell>
          <cell r="S22" t="str">
            <v xml:space="preserve">22 MTK </v>
          </cell>
          <cell r="T22" t="str">
            <v xml:space="preserve">55 MTK </v>
          </cell>
          <cell r="U22" t="str">
            <v>29 BIO</v>
          </cell>
          <cell r="V22" t="str">
            <v>52 ENG</v>
          </cell>
          <cell r="W22" t="str">
            <v>35 PI</v>
          </cell>
          <cell r="X22" t="str">
            <v>51 B.IND</v>
          </cell>
          <cell r="Y22" t="str">
            <v>42 PJOK</v>
          </cell>
          <cell r="Z22" t="str">
            <v>37 SEJ</v>
          </cell>
          <cell r="AA22" t="str">
            <v xml:space="preserve">20 MTK </v>
          </cell>
          <cell r="AB22" t="str">
            <v>21 B.IND</v>
          </cell>
          <cell r="AC22" t="str">
            <v>47 SBD</v>
          </cell>
          <cell r="AD22" t="str">
            <v>5 ENG</v>
          </cell>
          <cell r="AE22" t="str">
            <v>2 FSK</v>
          </cell>
          <cell r="AF22" t="str">
            <v>3 B.IND</v>
          </cell>
          <cell r="AG22" t="str">
            <v>15 BIO</v>
          </cell>
          <cell r="AH22" t="str">
            <v>54 EKO</v>
          </cell>
          <cell r="AI22" t="str">
            <v>50 PJOK</v>
          </cell>
          <cell r="AJ22" t="str">
            <v>6 SOS</v>
          </cell>
        </row>
        <row r="23">
          <cell r="G23" t="str">
            <v>12 EKO</v>
          </cell>
          <cell r="H23" t="str">
            <v>23 BIO</v>
          </cell>
          <cell r="I23" t="str">
            <v xml:space="preserve">53 MTK </v>
          </cell>
          <cell r="J23" t="str">
            <v>50 PKWU</v>
          </cell>
          <cell r="K23" t="str">
            <v>40 ENG</v>
          </cell>
          <cell r="L23" t="str">
            <v>34 GEO</v>
          </cell>
          <cell r="M23" t="str">
            <v>35 PAI</v>
          </cell>
          <cell r="N23" t="str">
            <v>45 SBD</v>
          </cell>
          <cell r="O23" t="str">
            <v>28 PKn</v>
          </cell>
          <cell r="P23" t="str">
            <v>32 PAI</v>
          </cell>
          <cell r="Q23" t="str">
            <v>24 PKn</v>
          </cell>
          <cell r="R23" t="str">
            <v>9 B.IND</v>
          </cell>
          <cell r="S23" t="str">
            <v>38 PKWU</v>
          </cell>
          <cell r="T23" t="str">
            <v>29 BIO</v>
          </cell>
          <cell r="U23" t="str">
            <v>48 INF</v>
          </cell>
          <cell r="V23" t="str">
            <v>52 ENG</v>
          </cell>
          <cell r="W23" t="str">
            <v>37 SEJ</v>
          </cell>
          <cell r="X23" t="str">
            <v>51 B.IND</v>
          </cell>
          <cell r="Y23" t="str">
            <v>33 EKO</v>
          </cell>
          <cell r="Z23" t="str">
            <v>31 PKn</v>
          </cell>
          <cell r="AA23" t="str">
            <v>27 PKWU</v>
          </cell>
          <cell r="AB23" t="str">
            <v>47 SBD</v>
          </cell>
          <cell r="AC23" t="str">
            <v>13 SEJ</v>
          </cell>
          <cell r="AD23" t="str">
            <v>5 ENG</v>
          </cell>
          <cell r="AE23" t="str">
            <v>2 FSK</v>
          </cell>
          <cell r="AF23" t="str">
            <v>3 B.IND</v>
          </cell>
          <cell r="AG23" t="str">
            <v>49 GEO</v>
          </cell>
          <cell r="AH23" t="str">
            <v>6 SOS</v>
          </cell>
          <cell r="AI23" t="str">
            <v>15 BIO</v>
          </cell>
          <cell r="AJ23" t="str">
            <v>54 EKO</v>
          </cell>
        </row>
        <row r="24">
          <cell r="G24" t="str">
            <v>12 EKO</v>
          </cell>
          <cell r="H24" t="str">
            <v>23 BIO</v>
          </cell>
          <cell r="I24" t="str">
            <v xml:space="preserve">53 MTK </v>
          </cell>
          <cell r="J24" t="str">
            <v>50 PKWU</v>
          </cell>
          <cell r="K24" t="str">
            <v>40 ENG</v>
          </cell>
          <cell r="L24" t="str">
            <v>34 GEO</v>
          </cell>
          <cell r="M24" t="str">
            <v>35 PAI</v>
          </cell>
          <cell r="N24" t="str">
            <v>45 SBD</v>
          </cell>
          <cell r="O24" t="str">
            <v>28 PKn</v>
          </cell>
          <cell r="P24" t="str">
            <v>32 PAI</v>
          </cell>
          <cell r="Q24" t="str">
            <v>24 PKn</v>
          </cell>
          <cell r="R24" t="str">
            <v>9 B.IND</v>
          </cell>
          <cell r="S24" t="str">
            <v>38 PKWU</v>
          </cell>
          <cell r="T24" t="str">
            <v>29 BIO</v>
          </cell>
          <cell r="U24" t="str">
            <v>48 INF</v>
          </cell>
          <cell r="V24" t="str">
            <v>52 ENG</v>
          </cell>
          <cell r="W24" t="str">
            <v>37 SEJ</v>
          </cell>
          <cell r="X24" t="str">
            <v>51 B.IND</v>
          </cell>
          <cell r="Y24" t="str">
            <v>33 EKO</v>
          </cell>
          <cell r="Z24" t="str">
            <v>31 PKn</v>
          </cell>
          <cell r="AA24" t="str">
            <v>27 PKWU</v>
          </cell>
          <cell r="AB24" t="str">
            <v>47 SBD</v>
          </cell>
          <cell r="AC24" t="str">
            <v>13 SEJ</v>
          </cell>
          <cell r="AD24" t="str">
            <v>5 ENG</v>
          </cell>
          <cell r="AE24" t="str">
            <v>2 FSK</v>
          </cell>
          <cell r="AF24" t="str">
            <v>3 B.IND</v>
          </cell>
          <cell r="AG24" t="str">
            <v>49 GEO</v>
          </cell>
          <cell r="AH24" t="str">
            <v>6 SOS</v>
          </cell>
          <cell r="AI24" t="str">
            <v>15 BIO</v>
          </cell>
          <cell r="AJ24" t="str">
            <v>54 EKO</v>
          </cell>
        </row>
        <row r="25"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  <cell r="L25" t="str">
            <v xml:space="preserve"> </v>
          </cell>
          <cell r="M25" t="str">
            <v xml:space="preserve"> 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 xml:space="preserve"> 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  <cell r="AB25" t="str">
            <v xml:space="preserve"> </v>
          </cell>
          <cell r="AC25" t="str">
            <v xml:space="preserve"> </v>
          </cell>
          <cell r="AD25" t="str">
            <v xml:space="preserve"> </v>
          </cell>
          <cell r="AE25" t="str">
            <v xml:space="preserve"> </v>
          </cell>
          <cell r="AF25" t="str">
            <v xml:space="preserve"> </v>
          </cell>
          <cell r="AG25" t="str">
            <v xml:space="preserve"> </v>
          </cell>
          <cell r="AH25" t="str">
            <v xml:space="preserve"> </v>
          </cell>
          <cell r="AI25" t="str">
            <v xml:space="preserve"> </v>
          </cell>
          <cell r="AJ25" t="str">
            <v xml:space="preserve"> </v>
          </cell>
        </row>
        <row r="26"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 xml:space="preserve"> 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  <cell r="AB26" t="str">
            <v xml:space="preserve"> </v>
          </cell>
          <cell r="AC26" t="str">
            <v xml:space="preserve"> </v>
          </cell>
          <cell r="AD26" t="str">
            <v xml:space="preserve"> </v>
          </cell>
          <cell r="AE26" t="str">
            <v xml:space="preserve"> </v>
          </cell>
          <cell r="AF26" t="str">
            <v xml:space="preserve"> </v>
          </cell>
          <cell r="AG26" t="str">
            <v xml:space="preserve"> </v>
          </cell>
          <cell r="AH26" t="str">
            <v xml:space="preserve"> </v>
          </cell>
          <cell r="AI26" t="str">
            <v xml:space="preserve"> </v>
          </cell>
          <cell r="AJ26" t="str">
            <v xml:space="preserve"> </v>
          </cell>
        </row>
        <row r="27">
          <cell r="G27" t="str">
            <v>25 INF</v>
          </cell>
          <cell r="H27" t="str">
            <v>30 KIM</v>
          </cell>
          <cell r="I27" t="str">
            <v>34 SOS</v>
          </cell>
          <cell r="J27" t="str">
            <v>39 PJOK</v>
          </cell>
          <cell r="K27" t="str">
            <v>47 SBD</v>
          </cell>
          <cell r="L27" t="str">
            <v>11 SOS</v>
          </cell>
          <cell r="M27" t="str">
            <v>40 ENG</v>
          </cell>
          <cell r="N27" t="str">
            <v>35 PAI</v>
          </cell>
          <cell r="O27" t="str">
            <v>56 BIO</v>
          </cell>
          <cell r="P27" t="str">
            <v>33 EKO</v>
          </cell>
          <cell r="Q27" t="str">
            <v>10 PAI</v>
          </cell>
          <cell r="R27" t="str">
            <v>15 BIO</v>
          </cell>
          <cell r="S27" t="str">
            <v>13 SEJ</v>
          </cell>
          <cell r="T27" t="str">
            <v>38 PKWU</v>
          </cell>
          <cell r="U27" t="str">
            <v>27 PKWU</v>
          </cell>
          <cell r="V27" t="str">
            <v>41 PAI</v>
          </cell>
          <cell r="W27" t="str">
            <v>45 SBD</v>
          </cell>
          <cell r="X27" t="str">
            <v>49 GEO</v>
          </cell>
          <cell r="Y27" t="str">
            <v>31 PKn</v>
          </cell>
          <cell r="Z27" t="str">
            <v xml:space="preserve">43 MTK </v>
          </cell>
          <cell r="AA27" t="str">
            <v>26 PJOK</v>
          </cell>
          <cell r="AB27" t="str">
            <v>5 ENG</v>
          </cell>
          <cell r="AC27" t="str">
            <v>16 KIM</v>
          </cell>
          <cell r="AD27" t="str">
            <v>17 PKn</v>
          </cell>
          <cell r="AE27" t="str">
            <v>4 BIO</v>
          </cell>
          <cell r="AF27" t="str">
            <v>55 MTL</v>
          </cell>
          <cell r="AG27" t="str">
            <v>3 B.IND</v>
          </cell>
          <cell r="AH27" t="str">
            <v>54 EKO</v>
          </cell>
          <cell r="AI27" t="str">
            <v>6 SOS</v>
          </cell>
          <cell r="AJ27" t="str">
            <v xml:space="preserve">22 MTK </v>
          </cell>
        </row>
        <row r="28">
          <cell r="G28" t="str">
            <v>25 INF</v>
          </cell>
          <cell r="H28" t="str">
            <v>30 KIM</v>
          </cell>
          <cell r="I28" t="str">
            <v>34 SOS</v>
          </cell>
          <cell r="J28" t="str">
            <v>39 PJOK</v>
          </cell>
          <cell r="K28" t="str">
            <v>47 SBD</v>
          </cell>
          <cell r="L28" t="str">
            <v>11 SOS</v>
          </cell>
          <cell r="M28" t="str">
            <v>40 ENG</v>
          </cell>
          <cell r="N28" t="str">
            <v>35 PAI</v>
          </cell>
          <cell r="O28" t="str">
            <v>56 BIO</v>
          </cell>
          <cell r="P28" t="str">
            <v>33 EKO</v>
          </cell>
          <cell r="Q28" t="str">
            <v>10 PAI</v>
          </cell>
          <cell r="R28" t="str">
            <v>15 BIO</v>
          </cell>
          <cell r="S28" t="str">
            <v>13 SEJ</v>
          </cell>
          <cell r="T28" t="str">
            <v>38 PKWU</v>
          </cell>
          <cell r="U28" t="str">
            <v>27 PKWU</v>
          </cell>
          <cell r="V28" t="str">
            <v>41 PAI</v>
          </cell>
          <cell r="W28" t="str">
            <v>45 SBD</v>
          </cell>
          <cell r="X28" t="str">
            <v>49 GEO</v>
          </cell>
          <cell r="Y28" t="str">
            <v>31 PKn</v>
          </cell>
          <cell r="Z28" t="str">
            <v xml:space="preserve">43 MTK </v>
          </cell>
          <cell r="AA28" t="str">
            <v>26 PJOK</v>
          </cell>
          <cell r="AB28" t="str">
            <v>5 ENG</v>
          </cell>
          <cell r="AC28" t="str">
            <v>16 KIM</v>
          </cell>
          <cell r="AD28" t="str">
            <v>17 PKn</v>
          </cell>
          <cell r="AE28" t="str">
            <v>4 BIO</v>
          </cell>
          <cell r="AF28" t="str">
            <v>55 MTL</v>
          </cell>
          <cell r="AG28" t="str">
            <v>3 B.IND</v>
          </cell>
          <cell r="AH28" t="str">
            <v>54 EKO</v>
          </cell>
          <cell r="AI28" t="str">
            <v>6 SOS</v>
          </cell>
          <cell r="AJ28" t="str">
            <v xml:space="preserve">22 MTK </v>
          </cell>
        </row>
        <row r="29">
          <cell r="G29" t="str">
            <v>23 BIO</v>
          </cell>
          <cell r="H29" t="str">
            <v>30 KIM</v>
          </cell>
          <cell r="I29" t="str">
            <v>52 ENG</v>
          </cell>
          <cell r="J29" t="str">
            <v>39 PJOK</v>
          </cell>
          <cell r="K29" t="str">
            <v>17 PKn</v>
          </cell>
          <cell r="L29" t="str">
            <v>14 FSK</v>
          </cell>
          <cell r="M29" t="str">
            <v>40 ENG</v>
          </cell>
          <cell r="N29" t="str">
            <v>28 PKn</v>
          </cell>
          <cell r="O29" t="str">
            <v>56 BIO</v>
          </cell>
          <cell r="P29" t="str">
            <v>33 EKO</v>
          </cell>
          <cell r="Q29" t="str">
            <v>10 PAI</v>
          </cell>
          <cell r="R29" t="str">
            <v>54 EKO</v>
          </cell>
          <cell r="S29" t="str">
            <v>50 PJOK</v>
          </cell>
          <cell r="T29" t="str">
            <v>24 PKn</v>
          </cell>
          <cell r="U29" t="str">
            <v xml:space="preserve">55 MTK </v>
          </cell>
          <cell r="V29" t="str">
            <v>41 PAI</v>
          </cell>
          <cell r="W29" t="str">
            <v>34 SOS</v>
          </cell>
          <cell r="X29" t="str">
            <v>36 ENG</v>
          </cell>
          <cell r="Y29" t="str">
            <v>45 SBD</v>
          </cell>
          <cell r="Z29" t="str">
            <v xml:space="preserve">43 MTK </v>
          </cell>
          <cell r="AA29" t="str">
            <v>26 PJOK</v>
          </cell>
          <cell r="AB29" t="str">
            <v>2 FSK</v>
          </cell>
          <cell r="AC29" t="str">
            <v>7 PAI</v>
          </cell>
          <cell r="AD29" t="str">
            <v>16 KIM</v>
          </cell>
          <cell r="AE29" t="str">
            <v>4 BIO</v>
          </cell>
          <cell r="AF29" t="str">
            <v>27 PKWU</v>
          </cell>
          <cell r="AG29" t="str">
            <v>3 B.IND</v>
          </cell>
          <cell r="AH29" t="str">
            <v>49 GEO</v>
          </cell>
          <cell r="AI29" t="str">
            <v>25 INF</v>
          </cell>
          <cell r="AJ29" t="str">
            <v xml:space="preserve">22 MTK </v>
          </cell>
        </row>
        <row r="30">
          <cell r="G30" t="str">
            <v>23 BIO</v>
          </cell>
          <cell r="H30" t="str">
            <v>38 PKWU</v>
          </cell>
          <cell r="I30" t="str">
            <v>52 ENG</v>
          </cell>
          <cell r="J30" t="str">
            <v>3 B.IND</v>
          </cell>
          <cell r="K30" t="str">
            <v>17 PKn</v>
          </cell>
          <cell r="L30" t="str">
            <v>14 FSK</v>
          </cell>
          <cell r="M30" t="str">
            <v>11 SOS</v>
          </cell>
          <cell r="N30" t="str">
            <v>28 PKn</v>
          </cell>
          <cell r="O30" t="str">
            <v>35 PAI</v>
          </cell>
          <cell r="P30" t="str">
            <v>39 PJOK</v>
          </cell>
          <cell r="Q30" t="str">
            <v>15 BIO</v>
          </cell>
          <cell r="R30" t="str">
            <v>54 EKO</v>
          </cell>
          <cell r="S30" t="str">
            <v>50 PJOK</v>
          </cell>
          <cell r="T30" t="str">
            <v>24 PKn</v>
          </cell>
          <cell r="U30" t="str">
            <v xml:space="preserve">55 MTK </v>
          </cell>
          <cell r="V30" t="str">
            <v>31 GEO</v>
          </cell>
          <cell r="W30" t="str">
            <v>34 SOS</v>
          </cell>
          <cell r="X30" t="str">
            <v>36 ENG</v>
          </cell>
          <cell r="Y30" t="str">
            <v>45 SBD</v>
          </cell>
          <cell r="Z30" t="str">
            <v>47 SBD</v>
          </cell>
          <cell r="AA30" t="str">
            <v>43 MTL</v>
          </cell>
          <cell r="AB30" t="str">
            <v>2 FSK</v>
          </cell>
          <cell r="AC30" t="str">
            <v>7 PAI</v>
          </cell>
          <cell r="AD30" t="str">
            <v>16 KIM</v>
          </cell>
          <cell r="AE30" t="str">
            <v>26 PJOK</v>
          </cell>
          <cell r="AF30" t="str">
            <v>27 PKWU</v>
          </cell>
          <cell r="AG30" t="str">
            <v>5 ENG</v>
          </cell>
          <cell r="AH30" t="str">
            <v>49 GEO</v>
          </cell>
          <cell r="AI30" t="str">
            <v>25 INF</v>
          </cell>
          <cell r="AJ30" t="str">
            <v>6 SOS</v>
          </cell>
        </row>
        <row r="31">
          <cell r="G31" t="str">
            <v>23 BIO</v>
          </cell>
          <cell r="H31" t="str">
            <v>38 PKWU</v>
          </cell>
          <cell r="I31" t="str">
            <v>52 ENG</v>
          </cell>
          <cell r="J31" t="str">
            <v>3 B.IND</v>
          </cell>
          <cell r="K31" t="str">
            <v>33 EKO</v>
          </cell>
          <cell r="L31" t="str">
            <v>17 PKn</v>
          </cell>
          <cell r="M31" t="str">
            <v>11 SOS</v>
          </cell>
          <cell r="N31" t="str">
            <v>56 BIO</v>
          </cell>
          <cell r="O31" t="str">
            <v>35 PAI</v>
          </cell>
          <cell r="P31" t="str">
            <v>39 PJOK</v>
          </cell>
          <cell r="Q31" t="str">
            <v>15 BIO</v>
          </cell>
          <cell r="R31" t="str">
            <v>30 KIM</v>
          </cell>
          <cell r="S31" t="str">
            <v>50 PJOK</v>
          </cell>
          <cell r="T31" t="str">
            <v>14 FSK</v>
          </cell>
          <cell r="U31" t="str">
            <v>49 KIM</v>
          </cell>
          <cell r="V31" t="str">
            <v>31 GEO</v>
          </cell>
          <cell r="W31" t="str">
            <v xml:space="preserve">55 MTK </v>
          </cell>
          <cell r="X31" t="str">
            <v>36 ENG</v>
          </cell>
          <cell r="Y31" t="str">
            <v>41 PAI</v>
          </cell>
          <cell r="Z31" t="str">
            <v>47 SBD</v>
          </cell>
          <cell r="AA31" t="str">
            <v>43 MTL</v>
          </cell>
          <cell r="AB31" t="str">
            <v>2 FSK</v>
          </cell>
          <cell r="AC31" t="str">
            <v>7 PAI</v>
          </cell>
          <cell r="AD31" t="str">
            <v>27 PKWU</v>
          </cell>
          <cell r="AE31" t="str">
            <v>26 PJOK</v>
          </cell>
          <cell r="AF31" t="str">
            <v>16 KIM</v>
          </cell>
          <cell r="AG31" t="str">
            <v>5 ENG</v>
          </cell>
          <cell r="AH31" t="str">
            <v xml:space="preserve">22 MTK </v>
          </cell>
          <cell r="AI31" t="str">
            <v>10 PAI</v>
          </cell>
          <cell r="AJ31" t="str">
            <v>6 SOS</v>
          </cell>
        </row>
        <row r="32">
          <cell r="G32" t="str">
            <v>31 GEO</v>
          </cell>
          <cell r="H32" t="str">
            <v>47 SBD</v>
          </cell>
          <cell r="I32" t="str">
            <v>28 SEJ</v>
          </cell>
          <cell r="J32" t="str">
            <v>34 SOS</v>
          </cell>
          <cell r="K32" t="str">
            <v>33 EKO</v>
          </cell>
          <cell r="L32" t="str">
            <v>17 PKn</v>
          </cell>
          <cell r="M32" t="str">
            <v>51 B.IND</v>
          </cell>
          <cell r="N32" t="str">
            <v>56 BIO</v>
          </cell>
          <cell r="O32" t="str">
            <v>50 PKWU</v>
          </cell>
          <cell r="P32" t="str">
            <v>39 PJOK</v>
          </cell>
          <cell r="Q32" t="str">
            <v>54 EKO</v>
          </cell>
          <cell r="R32" t="str">
            <v>30 KIM</v>
          </cell>
          <cell r="S32" t="str">
            <v>45 SBD</v>
          </cell>
          <cell r="T32" t="str">
            <v>14 FSK</v>
          </cell>
          <cell r="U32" t="str">
            <v>49 KIM</v>
          </cell>
          <cell r="V32" t="str">
            <v>38 PKWU</v>
          </cell>
          <cell r="W32" t="str">
            <v xml:space="preserve">55 MTK </v>
          </cell>
          <cell r="X32" t="str">
            <v>11 SOS</v>
          </cell>
          <cell r="Y32" t="str">
            <v>41 PAI</v>
          </cell>
          <cell r="Z32" t="str">
            <v>35 PI</v>
          </cell>
          <cell r="AA32" t="str">
            <v>43 MTL</v>
          </cell>
          <cell r="AB32" t="str">
            <v>13 SEJ</v>
          </cell>
          <cell r="AC32" t="str">
            <v>25 INF</v>
          </cell>
          <cell r="AD32" t="str">
            <v>27 PKWU</v>
          </cell>
          <cell r="AE32" t="str">
            <v>26 PJOK</v>
          </cell>
          <cell r="AF32" t="str">
            <v>16 KIM</v>
          </cell>
          <cell r="AG32" t="str">
            <v>15 BIO</v>
          </cell>
          <cell r="AH32" t="str">
            <v xml:space="preserve">22 MTK </v>
          </cell>
          <cell r="AI32" t="str">
            <v>10 PAI</v>
          </cell>
          <cell r="AJ32" t="str">
            <v>36 ENG</v>
          </cell>
        </row>
        <row r="33">
          <cell r="G33" t="str">
            <v>31 GEO</v>
          </cell>
          <cell r="H33" t="str">
            <v>47 SBD</v>
          </cell>
          <cell r="I33" t="str">
            <v>28 SEJ</v>
          </cell>
          <cell r="J33" t="str">
            <v>34 SOS</v>
          </cell>
          <cell r="K33" t="str">
            <v>33 EKO</v>
          </cell>
          <cell r="L33" t="str">
            <v>23 BIO</v>
          </cell>
          <cell r="M33" t="str">
            <v>51 B.IND</v>
          </cell>
          <cell r="N33" t="str">
            <v>56 BIO</v>
          </cell>
          <cell r="O33" t="str">
            <v>50 PKWU</v>
          </cell>
          <cell r="P33" t="str">
            <v>40 ENG</v>
          </cell>
          <cell r="Q33" t="str">
            <v>54 EKO</v>
          </cell>
          <cell r="R33" t="str">
            <v>30 KIM</v>
          </cell>
          <cell r="S33" t="str">
            <v>45 SBD</v>
          </cell>
          <cell r="T33" t="str">
            <v>52 ENG</v>
          </cell>
          <cell r="U33" t="str">
            <v>49 KIM</v>
          </cell>
          <cell r="V33" t="str">
            <v>38 PKWU</v>
          </cell>
          <cell r="W33" t="str">
            <v xml:space="preserve">55 MTK </v>
          </cell>
          <cell r="X33" t="str">
            <v>11 SOS</v>
          </cell>
          <cell r="Y33" t="str">
            <v>41 PAI</v>
          </cell>
          <cell r="Z33" t="str">
            <v>35 PI</v>
          </cell>
          <cell r="AA33" t="str">
            <v>2 FSK</v>
          </cell>
          <cell r="AB33" t="str">
            <v>13 SEJ</v>
          </cell>
          <cell r="AC33" t="str">
            <v>25 INF</v>
          </cell>
          <cell r="AD33" t="str">
            <v>6 SOS</v>
          </cell>
          <cell r="AE33" t="str">
            <v>3 B.IND</v>
          </cell>
          <cell r="AF33" t="str">
            <v>5 ENG</v>
          </cell>
          <cell r="AG33" t="str">
            <v>15 BIO</v>
          </cell>
          <cell r="AH33" t="str">
            <v xml:space="preserve">22 MTK </v>
          </cell>
          <cell r="AI33" t="str">
            <v>10 PAI</v>
          </cell>
          <cell r="AJ33" t="str">
            <v>36 ENG</v>
          </cell>
        </row>
        <row r="34">
          <cell r="G34" t="str">
            <v>34 SOS</v>
          </cell>
          <cell r="H34" t="str">
            <v>28 SEJ</v>
          </cell>
          <cell r="I34" t="str">
            <v>47 SBD</v>
          </cell>
          <cell r="J34" t="str">
            <v>14 FSK</v>
          </cell>
          <cell r="K34" t="str">
            <v>41 PAI</v>
          </cell>
          <cell r="L34" t="str">
            <v>23 BIO</v>
          </cell>
          <cell r="M34" t="str">
            <v>10 BTQ</v>
          </cell>
          <cell r="N34" t="str">
            <v>50 PKWU</v>
          </cell>
          <cell r="O34" t="str">
            <v>51 B.IND</v>
          </cell>
          <cell r="P34" t="str">
            <v>40 ENG</v>
          </cell>
          <cell r="Q34" t="str">
            <v>33 PI</v>
          </cell>
          <cell r="R34" t="str">
            <v>13 SEJ</v>
          </cell>
          <cell r="S34" t="str">
            <v>56 BIO</v>
          </cell>
          <cell r="T34" t="str">
            <v>52 ENG</v>
          </cell>
          <cell r="U34" t="str">
            <v>24 PKn</v>
          </cell>
          <cell r="V34" t="str">
            <v>45 SBD</v>
          </cell>
          <cell r="W34" t="str">
            <v>38 PKWU</v>
          </cell>
          <cell r="X34" t="str">
            <v>35 PI</v>
          </cell>
          <cell r="Y34" t="str">
            <v>11 SOS</v>
          </cell>
          <cell r="Z34" t="str">
            <v>49 GEO</v>
          </cell>
          <cell r="AA34" t="str">
            <v>2 FSK</v>
          </cell>
          <cell r="AB34" t="str">
            <v>25 INF</v>
          </cell>
          <cell r="AC34" t="str">
            <v>27 PKWU</v>
          </cell>
          <cell r="AD34" t="str">
            <v>6 SOS</v>
          </cell>
          <cell r="AE34" t="str">
            <v>3 B.IND</v>
          </cell>
          <cell r="AF34" t="str">
            <v>5 ENG</v>
          </cell>
          <cell r="AG34" t="str">
            <v>54 EKO</v>
          </cell>
          <cell r="AH34" t="str">
            <v>31 PKn</v>
          </cell>
          <cell r="AI34" t="str">
            <v>36 ENG</v>
          </cell>
          <cell r="AJ34" t="str">
            <v>15 BIO</v>
          </cell>
        </row>
        <row r="35">
          <cell r="G35" t="str">
            <v>34 SOS</v>
          </cell>
          <cell r="H35" t="str">
            <v>28 SEJ</v>
          </cell>
          <cell r="I35" t="str">
            <v>47 SBD</v>
          </cell>
          <cell r="J35" t="str">
            <v>14 FSK</v>
          </cell>
          <cell r="K35" t="str">
            <v>41 PAI</v>
          </cell>
          <cell r="L35" t="str">
            <v>23 BIO</v>
          </cell>
          <cell r="M35" t="str">
            <v>10 BTQ</v>
          </cell>
          <cell r="N35" t="str">
            <v>50 PKWU</v>
          </cell>
          <cell r="O35" t="str">
            <v>51 B.IND</v>
          </cell>
          <cell r="P35" t="str">
            <v>40 ENG</v>
          </cell>
          <cell r="Q35" t="str">
            <v>33 PI</v>
          </cell>
          <cell r="R35" t="str">
            <v>13 SEJ</v>
          </cell>
          <cell r="S35" t="str">
            <v>56 BIO</v>
          </cell>
          <cell r="T35" t="str">
            <v>52 ENG</v>
          </cell>
          <cell r="U35" t="str">
            <v>24 PKn</v>
          </cell>
          <cell r="V35" t="str">
            <v>45 SBD</v>
          </cell>
          <cell r="W35" t="str">
            <v>38 PKWU</v>
          </cell>
          <cell r="X35" t="str">
            <v>35 PI</v>
          </cell>
          <cell r="Y35" t="str">
            <v>11 SOS</v>
          </cell>
          <cell r="Z35" t="str">
            <v>49 GEO</v>
          </cell>
          <cell r="AA35" t="str">
            <v>2 FSK</v>
          </cell>
          <cell r="AB35" t="str">
            <v>25 INF</v>
          </cell>
          <cell r="AC35" t="str">
            <v>27 PKWU</v>
          </cell>
          <cell r="AD35" t="str">
            <v>6 SOS</v>
          </cell>
          <cell r="AE35" t="str">
            <v>3 B.IND</v>
          </cell>
          <cell r="AF35" t="str">
            <v>5 ENG</v>
          </cell>
          <cell r="AG35" t="str">
            <v>54 EKO</v>
          </cell>
          <cell r="AH35" t="str">
            <v>31 PKn</v>
          </cell>
          <cell r="AI35" t="str">
            <v>36 ENG</v>
          </cell>
          <cell r="AJ35" t="str">
            <v>15 BIO</v>
          </cell>
        </row>
        <row r="36">
          <cell r="G36" t="str">
            <v xml:space="preserve"> </v>
          </cell>
          <cell r="H36" t="str">
            <v xml:space="preserve"> </v>
          </cell>
          <cell r="I36" t="str">
            <v xml:space="preserve"> </v>
          </cell>
          <cell r="J36" t="str">
            <v xml:space="preserve"> </v>
          </cell>
          <cell r="K36" t="str">
            <v xml:space="preserve"> </v>
          </cell>
          <cell r="L36" t="str">
            <v xml:space="preserve"> </v>
          </cell>
          <cell r="M36" t="str">
            <v xml:space="preserve"> 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 xml:space="preserve"> 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  <cell r="AB36" t="str">
            <v xml:space="preserve"> </v>
          </cell>
          <cell r="AC36" t="str">
            <v xml:space="preserve"> </v>
          </cell>
          <cell r="AD36" t="str">
            <v xml:space="preserve"> </v>
          </cell>
          <cell r="AE36" t="str">
            <v xml:space="preserve"> </v>
          </cell>
          <cell r="AF36" t="str">
            <v xml:space="preserve"> </v>
          </cell>
          <cell r="AG36" t="str">
            <v xml:space="preserve"> </v>
          </cell>
          <cell r="AH36" t="str">
            <v xml:space="preserve"> </v>
          </cell>
          <cell r="AI36" t="str">
            <v xml:space="preserve"> </v>
          </cell>
          <cell r="AJ36" t="str">
            <v xml:space="preserve"> </v>
          </cell>
        </row>
        <row r="37">
          <cell r="G37" t="str">
            <v>42 PJOK</v>
          </cell>
          <cell r="H37" t="str">
            <v>31 GEO</v>
          </cell>
          <cell r="I37" t="str">
            <v>23 BIO</v>
          </cell>
          <cell r="J37" t="str">
            <v>28 SEJ</v>
          </cell>
          <cell r="K37" t="str">
            <v>11 SOS</v>
          </cell>
          <cell r="L37" t="str">
            <v>48 INF</v>
          </cell>
          <cell r="M37" t="str">
            <v>39 PJOK</v>
          </cell>
          <cell r="N37" t="str">
            <v xml:space="preserve">53 MTK </v>
          </cell>
          <cell r="O37" t="str">
            <v>40 ENG</v>
          </cell>
          <cell r="P37" t="str">
            <v>35 BTQ</v>
          </cell>
          <cell r="Q37" t="str">
            <v>37 SEJ</v>
          </cell>
          <cell r="R37" t="str">
            <v>52 ENG</v>
          </cell>
          <cell r="S37" t="str">
            <v>32 PI</v>
          </cell>
          <cell r="T37" t="str">
            <v>30 KIM</v>
          </cell>
          <cell r="U37" t="str">
            <v>41 PAI</v>
          </cell>
          <cell r="V37" t="str">
            <v>9 B.IND</v>
          </cell>
          <cell r="W37" t="str">
            <v>29 BIO</v>
          </cell>
          <cell r="X37" t="str">
            <v xml:space="preserve">55 MTK </v>
          </cell>
          <cell r="Y37" t="str">
            <v>49 GEO</v>
          </cell>
          <cell r="Z37" t="str">
            <v>51 B.IND</v>
          </cell>
          <cell r="AA37" t="str">
            <v>25 INF</v>
          </cell>
          <cell r="AB37" t="str">
            <v xml:space="preserve">20 MTK </v>
          </cell>
          <cell r="AC37" t="str">
            <v>4 BIO</v>
          </cell>
          <cell r="AD37" t="str">
            <v>47 SBD</v>
          </cell>
          <cell r="AE37" t="str">
            <v>16 KIM</v>
          </cell>
          <cell r="AF37" t="str">
            <v>17 PKn</v>
          </cell>
          <cell r="AG37" t="str">
            <v>26 PJOK</v>
          </cell>
          <cell r="AH37" t="str">
            <v>10 PAI</v>
          </cell>
          <cell r="AI37" t="str">
            <v>27 PKWU</v>
          </cell>
          <cell r="AJ37" t="str">
            <v>45 SBD</v>
          </cell>
        </row>
        <row r="38">
          <cell r="G38" t="str">
            <v>42 PJOK</v>
          </cell>
          <cell r="H38" t="str">
            <v>31 GEO</v>
          </cell>
          <cell r="I38" t="str">
            <v>23 BIO</v>
          </cell>
          <cell r="J38" t="str">
            <v>28 SEJ</v>
          </cell>
          <cell r="K38" t="str">
            <v>11 SOS</v>
          </cell>
          <cell r="L38" t="str">
            <v>48 INF</v>
          </cell>
          <cell r="M38" t="str">
            <v>39 PJOK</v>
          </cell>
          <cell r="N38" t="str">
            <v xml:space="preserve">53 MTK </v>
          </cell>
          <cell r="O38" t="str">
            <v>40 ENG</v>
          </cell>
          <cell r="P38" t="str">
            <v>35 BTQ</v>
          </cell>
          <cell r="Q38" t="str">
            <v>37 SEJ</v>
          </cell>
          <cell r="R38" t="str">
            <v>52 ENG</v>
          </cell>
          <cell r="S38" t="str">
            <v>32 PI</v>
          </cell>
          <cell r="T38" t="str">
            <v>30 KIM</v>
          </cell>
          <cell r="U38" t="str">
            <v>41 PAI</v>
          </cell>
          <cell r="V38" t="str">
            <v>9 B.IND</v>
          </cell>
          <cell r="W38" t="str">
            <v>29 BIO</v>
          </cell>
          <cell r="X38" t="str">
            <v xml:space="preserve">55 MTK </v>
          </cell>
          <cell r="Y38" t="str">
            <v>49 GEO</v>
          </cell>
          <cell r="Z38" t="str">
            <v>51 B.IND</v>
          </cell>
          <cell r="AA38" t="str">
            <v>25 INF</v>
          </cell>
          <cell r="AB38" t="str">
            <v xml:space="preserve">20 MTK </v>
          </cell>
          <cell r="AC38" t="str">
            <v>4 BIO</v>
          </cell>
          <cell r="AD38" t="str">
            <v>47 SBD</v>
          </cell>
          <cell r="AE38" t="str">
            <v>16 KIM</v>
          </cell>
          <cell r="AF38" t="str">
            <v>17 PKn</v>
          </cell>
          <cell r="AG38" t="str">
            <v>26 PJOK</v>
          </cell>
          <cell r="AH38" t="str">
            <v>10 PAI</v>
          </cell>
          <cell r="AI38" t="str">
            <v>27 PKWU</v>
          </cell>
          <cell r="AJ38" t="str">
            <v>45 SBD</v>
          </cell>
        </row>
        <row r="39">
          <cell r="G39" t="str">
            <v>42 PJOK</v>
          </cell>
          <cell r="H39" t="str">
            <v>32 BTQ</v>
          </cell>
          <cell r="I39" t="str">
            <v>23 BIO</v>
          </cell>
          <cell r="J39" t="str">
            <v>12 EKO</v>
          </cell>
          <cell r="K39" t="str">
            <v>25 INF</v>
          </cell>
          <cell r="L39" t="str">
            <v>47 SBD</v>
          </cell>
          <cell r="M39" t="str">
            <v>39 PJOK</v>
          </cell>
          <cell r="N39" t="str">
            <v xml:space="preserve">53 MTK </v>
          </cell>
          <cell r="O39" t="str">
            <v>40 ENG</v>
          </cell>
          <cell r="P39" t="str">
            <v>11 SOS</v>
          </cell>
          <cell r="Q39" t="str">
            <v>14 FSK</v>
          </cell>
          <cell r="R39" t="str">
            <v>52 ENG</v>
          </cell>
          <cell r="S39" t="str">
            <v>48 INF</v>
          </cell>
          <cell r="T39" t="str">
            <v>30 KIM</v>
          </cell>
          <cell r="U39" t="str">
            <v>41 PAI</v>
          </cell>
          <cell r="V39" t="str">
            <v>9 B.IND</v>
          </cell>
          <cell r="W39" t="str">
            <v>29 BIO</v>
          </cell>
          <cell r="X39" t="str">
            <v xml:space="preserve">55 MTK </v>
          </cell>
          <cell r="Y39" t="str">
            <v>35 PI</v>
          </cell>
          <cell r="Z39" t="str">
            <v>51 B.IND</v>
          </cell>
          <cell r="AA39" t="str">
            <v>21 B.IND</v>
          </cell>
          <cell r="AB39" t="str">
            <v>17 PKn</v>
          </cell>
          <cell r="AC39" t="str">
            <v>4 BIO</v>
          </cell>
          <cell r="AD39" t="str">
            <v xml:space="preserve">20 MTK </v>
          </cell>
          <cell r="AE39" t="str">
            <v>5 ENG</v>
          </cell>
          <cell r="AF39" t="str">
            <v>16 KIM</v>
          </cell>
          <cell r="AG39" t="str">
            <v>26 PJOK</v>
          </cell>
          <cell r="AH39" t="str">
            <v>10 PAI</v>
          </cell>
          <cell r="AI39" t="str">
            <v>45 SBD</v>
          </cell>
          <cell r="AJ39" t="str">
            <v>31 PKn</v>
          </cell>
        </row>
        <row r="40">
          <cell r="G40" t="str">
            <v>30 KIM</v>
          </cell>
          <cell r="H40" t="str">
            <v>32 BTQ</v>
          </cell>
          <cell r="I40" t="str">
            <v>39 PJOK</v>
          </cell>
          <cell r="J40" t="str">
            <v>12 EKO</v>
          </cell>
          <cell r="K40" t="str">
            <v>25 INF</v>
          </cell>
          <cell r="L40" t="str">
            <v>47 SBD</v>
          </cell>
          <cell r="M40" t="str">
            <v>49 KIM</v>
          </cell>
          <cell r="N40" t="str">
            <v>2 FSK</v>
          </cell>
          <cell r="O40" t="str">
            <v xml:space="preserve">55 MTK </v>
          </cell>
          <cell r="P40" t="str">
            <v>11 SOS</v>
          </cell>
          <cell r="Q40" t="str">
            <v>14 FSK</v>
          </cell>
          <cell r="R40" t="str">
            <v>50 PJOK</v>
          </cell>
          <cell r="S40" t="str">
            <v>48 INF</v>
          </cell>
          <cell r="T40" t="str">
            <v>37 SEJ</v>
          </cell>
          <cell r="U40" t="str">
            <v>29 BIO</v>
          </cell>
          <cell r="V40" t="str">
            <v>28 PKn</v>
          </cell>
          <cell r="W40" t="str">
            <v>51 B.IND</v>
          </cell>
          <cell r="X40" t="str">
            <v>42 PJOK</v>
          </cell>
          <cell r="Y40" t="str">
            <v>35 PI</v>
          </cell>
          <cell r="Z40" t="str">
            <v>56 BIO</v>
          </cell>
          <cell r="AA40" t="str">
            <v>21 B.IND</v>
          </cell>
          <cell r="AB40" t="str">
            <v>17 PKn</v>
          </cell>
          <cell r="AC40" t="str">
            <v>43 MTL</v>
          </cell>
          <cell r="AD40" t="str">
            <v xml:space="preserve">20 MTK </v>
          </cell>
          <cell r="AE40" t="str">
            <v>5 ENG</v>
          </cell>
          <cell r="AF40" t="str">
            <v>16 KIM</v>
          </cell>
          <cell r="AG40" t="str">
            <v>27 PKWU</v>
          </cell>
          <cell r="AH40" t="str">
            <v>26 PJOK</v>
          </cell>
          <cell r="AI40" t="str">
            <v>45 SBD</v>
          </cell>
          <cell r="AJ40" t="str">
            <v>31 PKn</v>
          </cell>
        </row>
        <row r="41">
          <cell r="G41" t="str">
            <v>30 KIM</v>
          </cell>
          <cell r="H41" t="str">
            <v>14 FSK</v>
          </cell>
          <cell r="I41" t="str">
            <v>39 PJOK</v>
          </cell>
          <cell r="J41" t="str">
            <v>12 EKO</v>
          </cell>
          <cell r="K41" t="str">
            <v>34 GEO</v>
          </cell>
          <cell r="L41" t="str">
            <v>35 PAI</v>
          </cell>
          <cell r="M41" t="str">
            <v>49 KIM</v>
          </cell>
          <cell r="N41" t="str">
            <v>2 FSK</v>
          </cell>
          <cell r="O41" t="str">
            <v xml:space="preserve">55 MTK </v>
          </cell>
          <cell r="P41" t="str">
            <v>45 SBD</v>
          </cell>
          <cell r="Q41" t="str">
            <v>47 SBD</v>
          </cell>
          <cell r="R41" t="str">
            <v>50 PJOK</v>
          </cell>
          <cell r="S41" t="str">
            <v>9 B.IND</v>
          </cell>
          <cell r="T41" t="str">
            <v>37 SEJ</v>
          </cell>
          <cell r="U41" t="str">
            <v>29 BIO</v>
          </cell>
          <cell r="V41" t="str">
            <v>28 PKn</v>
          </cell>
          <cell r="W41" t="str">
            <v>51 B.IND</v>
          </cell>
          <cell r="X41" t="str">
            <v>42 PJOK</v>
          </cell>
          <cell r="Y41" t="str">
            <v>48 INF</v>
          </cell>
          <cell r="Z41" t="str">
            <v>56 BIO</v>
          </cell>
          <cell r="AA41" t="str">
            <v>21 B.IND</v>
          </cell>
          <cell r="AB41" t="str">
            <v>16 KIM</v>
          </cell>
          <cell r="AC41" t="str">
            <v>43 MTL</v>
          </cell>
          <cell r="AD41" t="str">
            <v xml:space="preserve">20 MTK </v>
          </cell>
          <cell r="AE41" t="str">
            <v>5 ENG</v>
          </cell>
          <cell r="AF41" t="str">
            <v>25 INF</v>
          </cell>
          <cell r="AG41" t="str">
            <v>27 PKWU</v>
          </cell>
          <cell r="AH41" t="str">
            <v>26 PJOK</v>
          </cell>
          <cell r="AI41" t="str">
            <v>31 PKn</v>
          </cell>
          <cell r="AJ41" t="str">
            <v>36 ENG</v>
          </cell>
        </row>
        <row r="42">
          <cell r="G42" t="str">
            <v>30 KIM</v>
          </cell>
          <cell r="H42" t="str">
            <v>14 FSK</v>
          </cell>
          <cell r="I42" t="str">
            <v>39 PJOK</v>
          </cell>
          <cell r="J42" t="str">
            <v>23 BIO</v>
          </cell>
          <cell r="K42" t="str">
            <v>34 GEO</v>
          </cell>
          <cell r="L42" t="str">
            <v>35 PAI</v>
          </cell>
          <cell r="M42" t="str">
            <v>49 KIM</v>
          </cell>
          <cell r="N42" t="str">
            <v>40 ENG</v>
          </cell>
          <cell r="O42" t="str">
            <v xml:space="preserve">55 MTK </v>
          </cell>
          <cell r="P42" t="str">
            <v>45 SBD</v>
          </cell>
          <cell r="Q42" t="str">
            <v>47 SBD</v>
          </cell>
          <cell r="R42" t="str">
            <v>50 PJOK</v>
          </cell>
          <cell r="S42" t="str">
            <v>9 B.IND</v>
          </cell>
          <cell r="T42" t="str">
            <v>41 PAI</v>
          </cell>
          <cell r="U42" t="str">
            <v>52 ENG</v>
          </cell>
          <cell r="V42" t="str">
            <v xml:space="preserve">53 MTK </v>
          </cell>
          <cell r="W42" t="str">
            <v>51 B.IND</v>
          </cell>
          <cell r="X42" t="str">
            <v>42 PJOK</v>
          </cell>
          <cell r="Y42" t="str">
            <v>48 INF</v>
          </cell>
          <cell r="Z42" t="str">
            <v>56 BIO</v>
          </cell>
          <cell r="AA42" t="str">
            <v>29 BIO</v>
          </cell>
          <cell r="AB42" t="str">
            <v>16 KIM</v>
          </cell>
          <cell r="AC42" t="str">
            <v>43 MTL</v>
          </cell>
          <cell r="AD42" t="str">
            <v>2 FSK</v>
          </cell>
          <cell r="AE42" t="str">
            <v xml:space="preserve">20 MTK </v>
          </cell>
          <cell r="AF42" t="str">
            <v>25 INF</v>
          </cell>
          <cell r="AG42" t="str">
            <v>10 PAI</v>
          </cell>
          <cell r="AH42" t="str">
            <v>26 PJOK</v>
          </cell>
          <cell r="AI42" t="str">
            <v>31 PKn</v>
          </cell>
          <cell r="AJ42" t="str">
            <v>36 ENG</v>
          </cell>
        </row>
        <row r="43">
          <cell r="G43" t="str">
            <v>47 SBD</v>
          </cell>
          <cell r="H43" t="str">
            <v>34 SOS</v>
          </cell>
          <cell r="I43" t="str">
            <v>17 PKn</v>
          </cell>
          <cell r="J43" t="str">
            <v>23 BIO</v>
          </cell>
          <cell r="K43" t="str">
            <v>35 BTQ</v>
          </cell>
          <cell r="L43" t="str">
            <v>28 SEJ</v>
          </cell>
          <cell r="M43" t="str">
            <v>56 INF</v>
          </cell>
          <cell r="N43" t="str">
            <v>40 ENG</v>
          </cell>
          <cell r="O43" t="str">
            <v>32 BTQ</v>
          </cell>
          <cell r="P43" t="str">
            <v>51 B.IND</v>
          </cell>
          <cell r="Q43" t="str">
            <v>9 B.IND</v>
          </cell>
          <cell r="R43" t="str">
            <v>48 INF</v>
          </cell>
          <cell r="S43" t="str">
            <v>14 FSK</v>
          </cell>
          <cell r="T43" t="str">
            <v>41 PAI</v>
          </cell>
          <cell r="U43" t="str">
            <v>52 ENG</v>
          </cell>
          <cell r="V43" t="str">
            <v xml:space="preserve">53 MTK </v>
          </cell>
          <cell r="W43" t="str">
            <v>31 GEO</v>
          </cell>
          <cell r="X43" t="str">
            <v>12 EKO</v>
          </cell>
          <cell r="Y43" t="str">
            <v>37 SEJ</v>
          </cell>
          <cell r="Z43" t="str">
            <v>11 SOS</v>
          </cell>
          <cell r="AA43" t="str">
            <v>29 BIO</v>
          </cell>
          <cell r="AB43" t="str">
            <v>27 PKWU</v>
          </cell>
          <cell r="AC43" t="str">
            <v>5 ENG</v>
          </cell>
          <cell r="AD43" t="str">
            <v>2 FSK</v>
          </cell>
          <cell r="AE43" t="str">
            <v xml:space="preserve">20 MTK </v>
          </cell>
          <cell r="AF43" t="str">
            <v>45 SBD</v>
          </cell>
          <cell r="AG43" t="str">
            <v>10 PAI</v>
          </cell>
          <cell r="AH43" t="str">
            <v>36 ENG</v>
          </cell>
          <cell r="AI43" t="str">
            <v>49 GEO</v>
          </cell>
          <cell r="AJ43" t="str">
            <v>25 INF</v>
          </cell>
        </row>
        <row r="44">
          <cell r="G44" t="str">
            <v>47 SBD</v>
          </cell>
          <cell r="H44" t="str">
            <v>34 SOS</v>
          </cell>
          <cell r="I44" t="str">
            <v>17 PKn</v>
          </cell>
          <cell r="J44" t="str">
            <v>23 BIO</v>
          </cell>
          <cell r="K44" t="str">
            <v>35 BTQ</v>
          </cell>
          <cell r="L44" t="str">
            <v>28 SEJ</v>
          </cell>
          <cell r="M44" t="str">
            <v>56 INF</v>
          </cell>
          <cell r="N44" t="str">
            <v>40 ENG</v>
          </cell>
          <cell r="O44" t="str">
            <v>32 BTQ</v>
          </cell>
          <cell r="P44" t="str">
            <v>51 B.IND</v>
          </cell>
          <cell r="Q44" t="str">
            <v>9 B.IND</v>
          </cell>
          <cell r="R44" t="str">
            <v>48 INF</v>
          </cell>
          <cell r="S44" t="str">
            <v>14 FSK</v>
          </cell>
          <cell r="T44" t="str">
            <v>41 PAI</v>
          </cell>
          <cell r="U44" t="str">
            <v>52 ENG</v>
          </cell>
          <cell r="V44" t="str">
            <v xml:space="preserve">53 MTK </v>
          </cell>
          <cell r="W44" t="str">
            <v>31 GEO</v>
          </cell>
          <cell r="X44" t="str">
            <v>12 EKO</v>
          </cell>
          <cell r="Y44" t="str">
            <v>37 SEJ</v>
          </cell>
          <cell r="Z44" t="str">
            <v>11 SOS</v>
          </cell>
          <cell r="AA44" t="str">
            <v>29 BIO</v>
          </cell>
          <cell r="AB44" t="str">
            <v>27 PKWU</v>
          </cell>
          <cell r="AC44" t="str">
            <v>5 ENG</v>
          </cell>
          <cell r="AD44" t="str">
            <v>2 FSK</v>
          </cell>
          <cell r="AE44" t="str">
            <v xml:space="preserve">20 MTK </v>
          </cell>
          <cell r="AF44" t="str">
            <v>45 SBD</v>
          </cell>
          <cell r="AG44" t="str">
            <v>10 PAI</v>
          </cell>
          <cell r="AH44" t="str">
            <v>36 ENG</v>
          </cell>
          <cell r="AI44" t="str">
            <v>49 GEO</v>
          </cell>
          <cell r="AJ44" t="str">
            <v>25 INF</v>
          </cell>
        </row>
        <row r="47">
          <cell r="G47" t="str">
            <v>38 PKWU</v>
          </cell>
          <cell r="H47" t="str">
            <v>56 INF</v>
          </cell>
          <cell r="I47" t="str">
            <v>14 FSK</v>
          </cell>
          <cell r="J47" t="str">
            <v>49 GEO</v>
          </cell>
          <cell r="K47" t="str">
            <v>3 B.IND</v>
          </cell>
          <cell r="L47" t="str">
            <v>33 EKO</v>
          </cell>
          <cell r="M47" t="str">
            <v xml:space="preserve">53 MTK </v>
          </cell>
          <cell r="N47" t="str">
            <v>37 SEJ</v>
          </cell>
          <cell r="O47" t="str">
            <v>47 SBD</v>
          </cell>
          <cell r="P47" t="str">
            <v>23 BIO</v>
          </cell>
          <cell r="Q47" t="str">
            <v>50 PJOK</v>
          </cell>
          <cell r="R47" t="str">
            <v xml:space="preserve">22 MTK </v>
          </cell>
          <cell r="S47" t="str">
            <v>30 KIM</v>
          </cell>
          <cell r="T47" t="str">
            <v>32 PI</v>
          </cell>
          <cell r="U47" t="str">
            <v>45 SBD</v>
          </cell>
          <cell r="V47" t="str">
            <v>48 INF</v>
          </cell>
          <cell r="W47" t="str">
            <v>42 PJOK</v>
          </cell>
          <cell r="X47" t="str">
            <v>12 EKO</v>
          </cell>
          <cell r="Y47" t="str">
            <v>36 ENG</v>
          </cell>
          <cell r="Z47" t="str">
            <v>41 PAI</v>
          </cell>
          <cell r="AA47" t="str">
            <v xml:space="preserve">20 MTK </v>
          </cell>
          <cell r="AB47" t="str">
            <v>16 KIM</v>
          </cell>
          <cell r="AC47" t="str">
            <v>5 ENG</v>
          </cell>
          <cell r="AD47" t="str">
            <v>7 PAI</v>
          </cell>
          <cell r="AE47" t="str">
            <v>13 SEJ</v>
          </cell>
          <cell r="AF47" t="str">
            <v>26 PJOK</v>
          </cell>
          <cell r="AG47" t="str">
            <v>25 INF</v>
          </cell>
          <cell r="AH47" t="str">
            <v>6 SOS</v>
          </cell>
          <cell r="AI47" t="str">
            <v>54 EKO</v>
          </cell>
          <cell r="AJ47" t="str">
            <v>10 PAI</v>
          </cell>
        </row>
        <row r="48">
          <cell r="G48" t="str">
            <v>38 PKWU</v>
          </cell>
          <cell r="H48" t="str">
            <v>56 INF</v>
          </cell>
          <cell r="I48" t="str">
            <v>14 FSK</v>
          </cell>
          <cell r="J48" t="str">
            <v>49 GEO</v>
          </cell>
          <cell r="K48" t="str">
            <v>3 B.IND</v>
          </cell>
          <cell r="L48" t="str">
            <v>33 EKO</v>
          </cell>
          <cell r="M48" t="str">
            <v xml:space="preserve">53 MTK </v>
          </cell>
          <cell r="N48" t="str">
            <v>37 SEJ</v>
          </cell>
          <cell r="O48" t="str">
            <v>47 SBD</v>
          </cell>
          <cell r="P48" t="str">
            <v>23 BIO</v>
          </cell>
          <cell r="Q48" t="str">
            <v>50 PJOK</v>
          </cell>
          <cell r="R48" t="str">
            <v xml:space="preserve">22 MTK </v>
          </cell>
          <cell r="S48" t="str">
            <v>30 KIM</v>
          </cell>
          <cell r="T48" t="str">
            <v>32 PI</v>
          </cell>
          <cell r="U48" t="str">
            <v>45 SBD</v>
          </cell>
          <cell r="V48" t="str">
            <v>48 INF</v>
          </cell>
          <cell r="W48" t="str">
            <v>42 PJOK</v>
          </cell>
          <cell r="X48" t="str">
            <v>12 EKO</v>
          </cell>
          <cell r="Y48" t="str">
            <v>36 ENG</v>
          </cell>
          <cell r="Z48" t="str">
            <v>41 PAI</v>
          </cell>
          <cell r="AA48" t="str">
            <v xml:space="preserve">20 MTK </v>
          </cell>
          <cell r="AB48" t="str">
            <v>16 KIM</v>
          </cell>
          <cell r="AC48" t="str">
            <v>5 ENG</v>
          </cell>
          <cell r="AD48" t="str">
            <v>7 PAI</v>
          </cell>
          <cell r="AE48" t="str">
            <v>13 SEJ</v>
          </cell>
          <cell r="AF48" t="str">
            <v>26 PJOK</v>
          </cell>
          <cell r="AG48" t="str">
            <v>25 INF</v>
          </cell>
          <cell r="AH48" t="str">
            <v>6 SOS</v>
          </cell>
          <cell r="AI48" t="str">
            <v>54 EKO</v>
          </cell>
          <cell r="AJ48" t="str">
            <v>10 PAI</v>
          </cell>
        </row>
        <row r="49">
          <cell r="G49" t="str">
            <v>35 PAI</v>
          </cell>
          <cell r="H49" t="str">
            <v>3 B.IND</v>
          </cell>
          <cell r="I49" t="str">
            <v>31 GEO</v>
          </cell>
          <cell r="J49" t="str">
            <v>32 PAI</v>
          </cell>
          <cell r="K49" t="str">
            <v>38 PKWU</v>
          </cell>
          <cell r="L49" t="str">
            <v>33 EKO</v>
          </cell>
          <cell r="M49" t="str">
            <v xml:space="preserve">53 MTK </v>
          </cell>
          <cell r="N49" t="str">
            <v>48 INF</v>
          </cell>
          <cell r="O49" t="str">
            <v>37 SEJ</v>
          </cell>
          <cell r="P49" t="str">
            <v>23 BIO</v>
          </cell>
          <cell r="Q49" t="str">
            <v>50 PJOK</v>
          </cell>
          <cell r="R49" t="str">
            <v>15 BIO</v>
          </cell>
          <cell r="S49" t="str">
            <v>30 KIM</v>
          </cell>
          <cell r="T49" t="str">
            <v>9 B.IND</v>
          </cell>
          <cell r="U49" t="str">
            <v>14 FSK</v>
          </cell>
          <cell r="V49" t="str">
            <v>12 EKO</v>
          </cell>
          <cell r="W49" t="str">
            <v>42 PJOK</v>
          </cell>
          <cell r="X49" t="str">
            <v>27 PKWU</v>
          </cell>
          <cell r="Y49" t="str">
            <v>36 ENG</v>
          </cell>
          <cell r="Z49" t="str">
            <v>41 PAI</v>
          </cell>
          <cell r="AA49" t="str">
            <v>5 ENG</v>
          </cell>
          <cell r="AB49" t="str">
            <v xml:space="preserve">20 MTK </v>
          </cell>
          <cell r="AC49" t="str">
            <v>16 KIM</v>
          </cell>
          <cell r="AD49" t="str">
            <v>7 PAI</v>
          </cell>
          <cell r="AE49" t="str">
            <v>47 SBD</v>
          </cell>
          <cell r="AF49" t="str">
            <v>26 PJOK</v>
          </cell>
          <cell r="AG49" t="str">
            <v>45 SBD</v>
          </cell>
          <cell r="AH49" t="str">
            <v>13 SEJ</v>
          </cell>
          <cell r="AI49" t="str">
            <v>6 SOS</v>
          </cell>
          <cell r="AJ49" t="str">
            <v>10 PAI</v>
          </cell>
        </row>
        <row r="50">
          <cell r="G50" t="str">
            <v>35 PAI</v>
          </cell>
          <cell r="H50" t="str">
            <v>3 B.IND</v>
          </cell>
          <cell r="I50" t="str">
            <v>31 GEO</v>
          </cell>
          <cell r="J50" t="str">
            <v>32 PAI</v>
          </cell>
          <cell r="K50" t="str">
            <v>38 PKWU</v>
          </cell>
          <cell r="L50" t="str">
            <v xml:space="preserve">53 MTK </v>
          </cell>
          <cell r="M50" t="str">
            <v>23 BIO</v>
          </cell>
          <cell r="N50" t="str">
            <v>48 INF</v>
          </cell>
          <cell r="O50" t="str">
            <v>37 SEJ</v>
          </cell>
          <cell r="P50" t="str">
            <v>49 KIM</v>
          </cell>
          <cell r="Q50" t="str">
            <v>30 KIM</v>
          </cell>
          <cell r="R50" t="str">
            <v>15 BIO</v>
          </cell>
          <cell r="S50" t="str">
            <v>41 PAI</v>
          </cell>
          <cell r="T50" t="str">
            <v>9 B.IND</v>
          </cell>
          <cell r="U50" t="str">
            <v>14 FSK</v>
          </cell>
          <cell r="V50" t="str">
            <v>12 EKO</v>
          </cell>
          <cell r="W50" t="str">
            <v>36 ENG</v>
          </cell>
          <cell r="X50" t="str">
            <v>27 PKWU</v>
          </cell>
          <cell r="Y50" t="str">
            <v xml:space="preserve">22 MTK </v>
          </cell>
          <cell r="Z50" t="str">
            <v>42 PJOK</v>
          </cell>
          <cell r="AA50" t="str">
            <v>5 ENG</v>
          </cell>
          <cell r="AB50" t="str">
            <v xml:space="preserve">20 MTK </v>
          </cell>
          <cell r="AC50" t="str">
            <v>16 KIM</v>
          </cell>
          <cell r="AD50" t="str">
            <v>26 PJOK</v>
          </cell>
          <cell r="AE50" t="str">
            <v>47 SBD</v>
          </cell>
          <cell r="AF50" t="str">
            <v>10 PAI</v>
          </cell>
          <cell r="AG50" t="str">
            <v>45 SBD</v>
          </cell>
          <cell r="AH50" t="str">
            <v>13 SEJ</v>
          </cell>
          <cell r="AI50" t="str">
            <v>6 SOS</v>
          </cell>
          <cell r="AJ50" t="str">
            <v>50 PJOK</v>
          </cell>
        </row>
        <row r="51">
          <cell r="G51" t="str">
            <v>9 B.IND</v>
          </cell>
          <cell r="H51" t="str">
            <v>35 PAI</v>
          </cell>
          <cell r="I51" t="str">
            <v>56 INF</v>
          </cell>
          <cell r="J51" t="str">
            <v>47 SBD</v>
          </cell>
          <cell r="K51" t="str">
            <v>14 FSK</v>
          </cell>
          <cell r="L51" t="str">
            <v xml:space="preserve">53 MTK </v>
          </cell>
          <cell r="M51" t="str">
            <v>23 BIO</v>
          </cell>
          <cell r="N51" t="str">
            <v>11 SOS</v>
          </cell>
          <cell r="O51" t="str">
            <v>48 INF</v>
          </cell>
          <cell r="P51" t="str">
            <v>49 KIM</v>
          </cell>
          <cell r="Q51" t="str">
            <v>30 KIM</v>
          </cell>
          <cell r="R51" t="str">
            <v>38 PKWU</v>
          </cell>
          <cell r="S51" t="str">
            <v>41 PAI</v>
          </cell>
          <cell r="T51" t="str">
            <v>33 EKO</v>
          </cell>
          <cell r="U51" t="str">
            <v>54 EKO</v>
          </cell>
          <cell r="V51" t="str">
            <v>32 PI</v>
          </cell>
          <cell r="W51" t="str">
            <v>36 ENG</v>
          </cell>
          <cell r="X51" t="str">
            <v>45 SBD</v>
          </cell>
          <cell r="Y51" t="str">
            <v xml:space="preserve">22 MTK </v>
          </cell>
          <cell r="Z51" t="str">
            <v>42 PJOK</v>
          </cell>
          <cell r="AA51" t="str">
            <v>16 KIM</v>
          </cell>
          <cell r="AB51" t="str">
            <v>5 ENG</v>
          </cell>
          <cell r="AC51" t="str">
            <v xml:space="preserve">20 MTK </v>
          </cell>
          <cell r="AD51" t="str">
            <v>26 PJOK</v>
          </cell>
          <cell r="AE51" t="str">
            <v>25 INF</v>
          </cell>
          <cell r="AF51" t="str">
            <v>10 PAI</v>
          </cell>
          <cell r="AG51" t="str">
            <v>6 SOS</v>
          </cell>
          <cell r="AH51" t="str">
            <v>27 PKWU</v>
          </cell>
          <cell r="AI51" t="str">
            <v>15 BIO</v>
          </cell>
          <cell r="AJ51" t="str">
            <v>50 PJOK</v>
          </cell>
        </row>
        <row r="52">
          <cell r="G52" t="str">
            <v>9 B.IND</v>
          </cell>
          <cell r="H52" t="str">
            <v>35 PAI</v>
          </cell>
          <cell r="I52" t="str">
            <v>56 INF</v>
          </cell>
          <cell r="J52" t="str">
            <v>47 SBD</v>
          </cell>
          <cell r="K52" t="str">
            <v>14 FSK</v>
          </cell>
          <cell r="L52" t="str">
            <v xml:space="preserve">53 MTK </v>
          </cell>
          <cell r="M52" t="str">
            <v>23 BIO</v>
          </cell>
          <cell r="N52" t="str">
            <v>11 SOS</v>
          </cell>
          <cell r="O52" t="str">
            <v>48 INF</v>
          </cell>
          <cell r="P52" t="str">
            <v>49 KIM</v>
          </cell>
          <cell r="Q52" t="str">
            <v>30 KIM</v>
          </cell>
          <cell r="R52" t="str">
            <v>38 PKWU</v>
          </cell>
          <cell r="S52" t="str">
            <v>41 PAI</v>
          </cell>
          <cell r="T52" t="str">
            <v>33 EKO</v>
          </cell>
          <cell r="U52" t="str">
            <v>54 EKO</v>
          </cell>
          <cell r="V52" t="str">
            <v>32 PI</v>
          </cell>
          <cell r="W52" t="str">
            <v>36 ENG</v>
          </cell>
          <cell r="X52" t="str">
            <v>45 SBD</v>
          </cell>
          <cell r="Y52" t="str">
            <v xml:space="preserve">22 MTK </v>
          </cell>
          <cell r="Z52" t="str">
            <v>42 PJOK</v>
          </cell>
          <cell r="AA52" t="str">
            <v>16 KIM</v>
          </cell>
          <cell r="AB52" t="str">
            <v>5 ENG</v>
          </cell>
          <cell r="AC52" t="str">
            <v xml:space="preserve">20 MTK </v>
          </cell>
          <cell r="AD52" t="str">
            <v>26 PJOK</v>
          </cell>
          <cell r="AE52" t="str">
            <v>25 INF</v>
          </cell>
          <cell r="AF52" t="str">
            <v>10 PAI</v>
          </cell>
          <cell r="AG52" t="str">
            <v>6 SOS</v>
          </cell>
          <cell r="AH52" t="str">
            <v>27 PKWU</v>
          </cell>
          <cell r="AI52" t="str">
            <v>15 BIO</v>
          </cell>
          <cell r="AJ52" t="str">
            <v>50 PJOK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BAGIAN TUGAS GURU"/>
      <sheetName val="3.BEBAN KERJA (2)"/>
      <sheetName val="3.BEBAN KERJA (5)"/>
      <sheetName val="1. PEMBAGIAN TUGAS GURU"/>
      <sheetName val="3.BEBAN KERJA"/>
      <sheetName val="1. PEMBAGIAN TUGAS GURU DAPODIK"/>
      <sheetName val="3.BEBAN KERJA (4)"/>
      <sheetName val="JADWAL2"/>
      <sheetName val="Sheet1"/>
      <sheetName val="CEK JADWAL"/>
      <sheetName val="CE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">
          <cell r="D9" t="str">
            <v>UPACARA KENAIKAN BENDERA</v>
          </cell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</row>
        <row r="10">
          <cell r="D10">
            <v>18</v>
          </cell>
          <cell r="E10">
            <v>32</v>
          </cell>
          <cell r="F10" t="str">
            <v>06</v>
          </cell>
          <cell r="G10">
            <v>15</v>
          </cell>
          <cell r="H10">
            <v>29</v>
          </cell>
          <cell r="I10">
            <v>25</v>
          </cell>
          <cell r="J10">
            <v>47</v>
          </cell>
          <cell r="K10">
            <v>53</v>
          </cell>
          <cell r="L10">
            <v>35</v>
          </cell>
          <cell r="M10">
            <v>43</v>
          </cell>
          <cell r="N10" t="str">
            <v>02</v>
          </cell>
          <cell r="O10">
            <v>24</v>
          </cell>
          <cell r="P10">
            <v>56</v>
          </cell>
          <cell r="Q10">
            <v>17</v>
          </cell>
          <cell r="R10">
            <v>11</v>
          </cell>
          <cell r="S10">
            <v>42</v>
          </cell>
          <cell r="T10">
            <v>14</v>
          </cell>
          <cell r="U10">
            <v>49</v>
          </cell>
          <cell r="V10">
            <v>55</v>
          </cell>
          <cell r="W10">
            <v>31</v>
          </cell>
          <cell r="X10">
            <v>21</v>
          </cell>
          <cell r="Y10" t="str">
            <v>05</v>
          </cell>
          <cell r="Z10">
            <v>39</v>
          </cell>
          <cell r="AA10">
            <v>30</v>
          </cell>
          <cell r="AB10">
            <v>19</v>
          </cell>
          <cell r="AC10">
            <v>45</v>
          </cell>
          <cell r="AD10" t="str">
            <v>07</v>
          </cell>
          <cell r="AE10" t="str">
            <v>04</v>
          </cell>
          <cell r="AF10">
            <v>52</v>
          </cell>
          <cell r="AG10">
            <v>8</v>
          </cell>
          <cell r="AH10">
            <v>37</v>
          </cell>
          <cell r="AI10">
            <v>12</v>
          </cell>
        </row>
        <row r="11">
          <cell r="D11">
            <v>18</v>
          </cell>
          <cell r="E11">
            <v>32</v>
          </cell>
          <cell r="F11" t="str">
            <v>06</v>
          </cell>
          <cell r="G11">
            <v>15</v>
          </cell>
          <cell r="H11">
            <v>29</v>
          </cell>
          <cell r="I11">
            <v>25</v>
          </cell>
          <cell r="J11">
            <v>47</v>
          </cell>
          <cell r="K11">
            <v>53</v>
          </cell>
          <cell r="L11">
            <v>35</v>
          </cell>
          <cell r="M11">
            <v>43</v>
          </cell>
          <cell r="N11" t="str">
            <v>02</v>
          </cell>
          <cell r="O11">
            <v>24</v>
          </cell>
          <cell r="P11">
            <v>56</v>
          </cell>
          <cell r="Q11">
            <v>17</v>
          </cell>
          <cell r="R11">
            <v>11</v>
          </cell>
          <cell r="S11">
            <v>57</v>
          </cell>
          <cell r="T11">
            <v>14</v>
          </cell>
          <cell r="U11">
            <v>49</v>
          </cell>
          <cell r="V11">
            <v>55</v>
          </cell>
          <cell r="W11">
            <v>31</v>
          </cell>
          <cell r="X11">
            <v>21</v>
          </cell>
          <cell r="Y11" t="str">
            <v>05</v>
          </cell>
          <cell r="Z11">
            <v>39</v>
          </cell>
          <cell r="AA11">
            <v>30</v>
          </cell>
          <cell r="AB11">
            <v>19</v>
          </cell>
          <cell r="AC11">
            <v>45</v>
          </cell>
          <cell r="AD11" t="str">
            <v>07</v>
          </cell>
          <cell r="AE11" t="str">
            <v>04</v>
          </cell>
          <cell r="AF11">
            <v>52</v>
          </cell>
          <cell r="AG11">
            <v>8</v>
          </cell>
          <cell r="AH11">
            <v>37</v>
          </cell>
          <cell r="AI11">
            <v>12</v>
          </cell>
        </row>
        <row r="12">
          <cell r="D12">
            <v>18</v>
          </cell>
          <cell r="E12">
            <v>32</v>
          </cell>
          <cell r="F12" t="str">
            <v>06</v>
          </cell>
          <cell r="G12">
            <v>47</v>
          </cell>
          <cell r="H12">
            <v>35</v>
          </cell>
          <cell r="I12">
            <v>25</v>
          </cell>
          <cell r="J12">
            <v>29</v>
          </cell>
          <cell r="K12">
            <v>53</v>
          </cell>
          <cell r="L12">
            <v>27</v>
          </cell>
          <cell r="M12">
            <v>43</v>
          </cell>
          <cell r="N12">
            <v>40</v>
          </cell>
          <cell r="O12">
            <v>24</v>
          </cell>
          <cell r="P12" t="str">
            <v>02</v>
          </cell>
          <cell r="Q12">
            <v>42</v>
          </cell>
          <cell r="R12">
            <v>11</v>
          </cell>
          <cell r="S12">
            <v>57</v>
          </cell>
          <cell r="T12">
            <v>31</v>
          </cell>
          <cell r="U12">
            <v>49</v>
          </cell>
          <cell r="V12">
            <v>38</v>
          </cell>
          <cell r="W12">
            <v>37</v>
          </cell>
          <cell r="X12" t="str">
            <v>09</v>
          </cell>
          <cell r="Y12">
            <v>21</v>
          </cell>
          <cell r="Z12">
            <v>39</v>
          </cell>
          <cell r="AA12">
            <v>30</v>
          </cell>
          <cell r="AB12">
            <v>52</v>
          </cell>
          <cell r="AC12">
            <v>45</v>
          </cell>
          <cell r="AD12">
            <v>22</v>
          </cell>
          <cell r="AE12">
            <v>26</v>
          </cell>
          <cell r="AF12">
            <v>8</v>
          </cell>
          <cell r="AG12">
            <v>7</v>
          </cell>
          <cell r="AH12">
            <v>4</v>
          </cell>
          <cell r="AI12">
            <v>12</v>
          </cell>
        </row>
        <row r="13">
          <cell r="D13" t="str">
            <v>ISTIRAHAT KE-1</v>
          </cell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</row>
        <row r="14">
          <cell r="D14">
            <v>57</v>
          </cell>
          <cell r="E14">
            <v>24</v>
          </cell>
          <cell r="F14">
            <v>15</v>
          </cell>
          <cell r="G14">
            <v>47</v>
          </cell>
          <cell r="H14">
            <v>35</v>
          </cell>
          <cell r="I14">
            <v>55</v>
          </cell>
          <cell r="J14">
            <v>29</v>
          </cell>
          <cell r="K14">
            <v>49</v>
          </cell>
          <cell r="L14">
            <v>27</v>
          </cell>
          <cell r="M14">
            <v>11</v>
          </cell>
          <cell r="N14">
            <v>40</v>
          </cell>
          <cell r="O14">
            <v>19</v>
          </cell>
          <cell r="P14">
            <v>2</v>
          </cell>
          <cell r="Q14">
            <v>42</v>
          </cell>
          <cell r="R14">
            <v>17</v>
          </cell>
          <cell r="S14">
            <v>14</v>
          </cell>
          <cell r="T14">
            <v>31</v>
          </cell>
          <cell r="U14">
            <v>13</v>
          </cell>
          <cell r="V14">
            <v>38</v>
          </cell>
          <cell r="W14">
            <v>37</v>
          </cell>
          <cell r="X14" t="str">
            <v>09</v>
          </cell>
          <cell r="Y14">
            <v>21</v>
          </cell>
          <cell r="Z14">
            <v>23</v>
          </cell>
          <cell r="AA14" t="str">
            <v>06</v>
          </cell>
          <cell r="AB14">
            <v>52</v>
          </cell>
          <cell r="AC14">
            <v>5</v>
          </cell>
          <cell r="AD14">
            <v>22</v>
          </cell>
          <cell r="AE14">
            <v>26</v>
          </cell>
          <cell r="AF14">
            <v>8</v>
          </cell>
          <cell r="AG14">
            <v>7</v>
          </cell>
          <cell r="AH14">
            <v>4</v>
          </cell>
          <cell r="AI14">
            <v>53</v>
          </cell>
        </row>
        <row r="15">
          <cell r="D15">
            <v>57</v>
          </cell>
          <cell r="E15">
            <v>24</v>
          </cell>
          <cell r="F15">
            <v>15</v>
          </cell>
          <cell r="G15">
            <v>18</v>
          </cell>
          <cell r="H15">
            <v>33</v>
          </cell>
          <cell r="I15">
            <v>55</v>
          </cell>
          <cell r="J15">
            <v>31</v>
          </cell>
          <cell r="K15">
            <v>49</v>
          </cell>
          <cell r="L15">
            <v>27</v>
          </cell>
          <cell r="M15">
            <v>11</v>
          </cell>
          <cell r="N15">
            <v>40</v>
          </cell>
          <cell r="O15">
            <v>19</v>
          </cell>
          <cell r="P15">
            <v>16</v>
          </cell>
          <cell r="Q15">
            <v>43</v>
          </cell>
          <cell r="R15">
            <v>17</v>
          </cell>
          <cell r="S15">
            <v>14</v>
          </cell>
          <cell r="T15">
            <v>39</v>
          </cell>
          <cell r="U15">
            <v>13</v>
          </cell>
          <cell r="V15">
            <v>38</v>
          </cell>
          <cell r="W15">
            <v>42</v>
          </cell>
          <cell r="X15" t="str">
            <v>09</v>
          </cell>
          <cell r="Y15" t="str">
            <v>02</v>
          </cell>
          <cell r="Z15">
            <v>23</v>
          </cell>
          <cell r="AA15" t="str">
            <v>06</v>
          </cell>
          <cell r="AB15">
            <v>45</v>
          </cell>
          <cell r="AC15">
            <v>5</v>
          </cell>
          <cell r="AD15">
            <v>52</v>
          </cell>
          <cell r="AE15" t="str">
            <v>08</v>
          </cell>
          <cell r="AF15">
            <v>56</v>
          </cell>
          <cell r="AG15">
            <v>37</v>
          </cell>
          <cell r="AH15">
            <v>12</v>
          </cell>
          <cell r="AI15">
            <v>53</v>
          </cell>
        </row>
        <row r="16">
          <cell r="D16" t="str">
            <v>ISTIRAHAT KE 2</v>
          </cell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</row>
        <row r="17">
          <cell r="D17">
            <v>28</v>
          </cell>
          <cell r="E17">
            <v>53</v>
          </cell>
          <cell r="F17">
            <v>47</v>
          </cell>
          <cell r="G17">
            <v>18</v>
          </cell>
          <cell r="H17">
            <v>33</v>
          </cell>
          <cell r="I17">
            <v>29</v>
          </cell>
          <cell r="J17">
            <v>31</v>
          </cell>
          <cell r="K17">
            <v>49</v>
          </cell>
          <cell r="L17">
            <v>13</v>
          </cell>
          <cell r="M17">
            <v>11</v>
          </cell>
          <cell r="N17">
            <v>17</v>
          </cell>
          <cell r="O17">
            <v>56</v>
          </cell>
          <cell r="P17">
            <v>16</v>
          </cell>
          <cell r="Q17">
            <v>43</v>
          </cell>
          <cell r="R17">
            <v>26</v>
          </cell>
          <cell r="S17">
            <v>35</v>
          </cell>
          <cell r="T17">
            <v>39</v>
          </cell>
          <cell r="U17">
            <v>55</v>
          </cell>
          <cell r="V17">
            <v>14</v>
          </cell>
          <cell r="W17">
            <v>57</v>
          </cell>
          <cell r="X17" t="str">
            <v>06</v>
          </cell>
          <cell r="Y17" t="str">
            <v>02</v>
          </cell>
          <cell r="Z17">
            <v>15</v>
          </cell>
          <cell r="AA17">
            <v>22</v>
          </cell>
          <cell r="AB17">
            <v>45</v>
          </cell>
          <cell r="AC17">
            <v>42</v>
          </cell>
          <cell r="AD17">
            <v>52</v>
          </cell>
          <cell r="AE17" t="str">
            <v>08</v>
          </cell>
          <cell r="AF17" t="str">
            <v>04</v>
          </cell>
          <cell r="AG17">
            <v>37</v>
          </cell>
          <cell r="AH17">
            <v>12</v>
          </cell>
          <cell r="AI17">
            <v>7</v>
          </cell>
        </row>
        <row r="18">
          <cell r="D18">
            <v>28</v>
          </cell>
          <cell r="E18">
            <v>53</v>
          </cell>
          <cell r="F18">
            <v>47</v>
          </cell>
          <cell r="G18">
            <v>18</v>
          </cell>
          <cell r="H18">
            <v>33</v>
          </cell>
          <cell r="I18">
            <v>29</v>
          </cell>
          <cell r="J18">
            <v>37</v>
          </cell>
          <cell r="K18">
            <v>25</v>
          </cell>
          <cell r="L18">
            <v>13</v>
          </cell>
          <cell r="M18">
            <v>27</v>
          </cell>
          <cell r="N18">
            <v>17</v>
          </cell>
          <cell r="O18">
            <v>56</v>
          </cell>
          <cell r="P18">
            <v>11</v>
          </cell>
          <cell r="Q18">
            <v>43</v>
          </cell>
          <cell r="R18">
            <v>26</v>
          </cell>
          <cell r="S18">
            <v>35</v>
          </cell>
          <cell r="T18">
            <v>40</v>
          </cell>
          <cell r="U18">
            <v>55</v>
          </cell>
          <cell r="V18">
            <v>14</v>
          </cell>
          <cell r="W18">
            <v>57</v>
          </cell>
          <cell r="X18" t="str">
            <v>06</v>
          </cell>
          <cell r="Y18">
            <v>39</v>
          </cell>
          <cell r="Z18">
            <v>15</v>
          </cell>
          <cell r="AA18">
            <v>22</v>
          </cell>
          <cell r="AB18">
            <v>45</v>
          </cell>
          <cell r="AC18">
            <v>42</v>
          </cell>
          <cell r="AD18">
            <v>38</v>
          </cell>
          <cell r="AE18">
            <v>32</v>
          </cell>
          <cell r="AF18" t="str">
            <v>04</v>
          </cell>
          <cell r="AG18">
            <v>52</v>
          </cell>
          <cell r="AH18">
            <v>12</v>
          </cell>
          <cell r="AI18">
            <v>7</v>
          </cell>
        </row>
        <row r="19">
          <cell r="D19">
            <v>45</v>
          </cell>
          <cell r="E19">
            <v>52</v>
          </cell>
          <cell r="F19">
            <v>56</v>
          </cell>
          <cell r="G19">
            <v>55</v>
          </cell>
          <cell r="H19">
            <v>31</v>
          </cell>
          <cell r="I19">
            <v>47</v>
          </cell>
          <cell r="J19">
            <v>37</v>
          </cell>
          <cell r="K19">
            <v>25</v>
          </cell>
          <cell r="L19">
            <v>29</v>
          </cell>
          <cell r="M19">
            <v>27</v>
          </cell>
          <cell r="N19">
            <v>28</v>
          </cell>
          <cell r="O19">
            <v>35</v>
          </cell>
          <cell r="P19">
            <v>11</v>
          </cell>
          <cell r="Q19">
            <v>16</v>
          </cell>
          <cell r="R19">
            <v>33</v>
          </cell>
          <cell r="S19">
            <v>17</v>
          </cell>
          <cell r="T19">
            <v>40</v>
          </cell>
          <cell r="U19">
            <v>14</v>
          </cell>
          <cell r="V19">
            <v>57</v>
          </cell>
          <cell r="W19">
            <v>13</v>
          </cell>
          <cell r="X19" t="str">
            <v>02</v>
          </cell>
          <cell r="Y19">
            <v>39</v>
          </cell>
          <cell r="Z19">
            <v>18</v>
          </cell>
          <cell r="AA19">
            <v>53</v>
          </cell>
          <cell r="AB19">
            <v>42</v>
          </cell>
          <cell r="AC19">
            <v>22</v>
          </cell>
          <cell r="AD19">
            <v>38</v>
          </cell>
          <cell r="AE19">
            <v>32</v>
          </cell>
          <cell r="AF19" t="str">
            <v>07</v>
          </cell>
          <cell r="AG19">
            <v>26</v>
          </cell>
          <cell r="AH19" t="str">
            <v>08</v>
          </cell>
          <cell r="AI19">
            <v>4</v>
          </cell>
        </row>
        <row r="20">
          <cell r="D20">
            <v>45</v>
          </cell>
          <cell r="E20">
            <v>52</v>
          </cell>
          <cell r="F20">
            <v>56</v>
          </cell>
          <cell r="G20">
            <v>55</v>
          </cell>
          <cell r="H20">
            <v>31</v>
          </cell>
          <cell r="I20">
            <v>47</v>
          </cell>
          <cell r="J20">
            <v>37</v>
          </cell>
          <cell r="K20">
            <v>25</v>
          </cell>
          <cell r="L20">
            <v>29</v>
          </cell>
          <cell r="M20">
            <v>27</v>
          </cell>
          <cell r="N20">
            <v>28</v>
          </cell>
          <cell r="O20">
            <v>35</v>
          </cell>
          <cell r="P20">
            <v>11</v>
          </cell>
          <cell r="Q20">
            <v>16</v>
          </cell>
          <cell r="R20">
            <v>33</v>
          </cell>
          <cell r="S20">
            <v>17</v>
          </cell>
          <cell r="T20">
            <v>40</v>
          </cell>
          <cell r="U20">
            <v>14</v>
          </cell>
          <cell r="V20">
            <v>57</v>
          </cell>
          <cell r="W20">
            <v>13</v>
          </cell>
          <cell r="X20" t="str">
            <v>02</v>
          </cell>
          <cell r="Y20">
            <v>39</v>
          </cell>
          <cell r="Z20">
            <v>18</v>
          </cell>
          <cell r="AA20">
            <v>53</v>
          </cell>
          <cell r="AB20">
            <v>42</v>
          </cell>
          <cell r="AC20">
            <v>22</v>
          </cell>
          <cell r="AD20">
            <v>38</v>
          </cell>
          <cell r="AE20">
            <v>32</v>
          </cell>
          <cell r="AF20" t="str">
            <v>07</v>
          </cell>
          <cell r="AG20">
            <v>26</v>
          </cell>
          <cell r="AH20" t="str">
            <v>08</v>
          </cell>
          <cell r="AI20">
            <v>4</v>
          </cell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</row>
        <row r="22">
          <cell r="D22">
            <v>32</v>
          </cell>
          <cell r="E22" t="str">
            <v>00</v>
          </cell>
          <cell r="F22">
            <v>41</v>
          </cell>
          <cell r="G22">
            <v>35</v>
          </cell>
          <cell r="H22">
            <v>47</v>
          </cell>
          <cell r="I22">
            <v>53</v>
          </cell>
          <cell r="J22">
            <v>25</v>
          </cell>
          <cell r="K22">
            <v>44</v>
          </cell>
          <cell r="L22">
            <v>49</v>
          </cell>
          <cell r="M22">
            <v>48</v>
          </cell>
          <cell r="N22">
            <v>24</v>
          </cell>
          <cell r="O22">
            <v>42</v>
          </cell>
          <cell r="P22">
            <v>43</v>
          </cell>
          <cell r="Q22">
            <v>57</v>
          </cell>
          <cell r="R22">
            <v>33</v>
          </cell>
          <cell r="S22">
            <v>16</v>
          </cell>
          <cell r="T22">
            <v>38</v>
          </cell>
          <cell r="U22">
            <v>31</v>
          </cell>
          <cell r="V22">
            <v>50</v>
          </cell>
          <cell r="W22">
            <v>55</v>
          </cell>
          <cell r="X22">
            <v>19</v>
          </cell>
          <cell r="Y22" t="str">
            <v>03</v>
          </cell>
          <cell r="Z22">
            <v>21</v>
          </cell>
          <cell r="AA22" t="str">
            <v>05</v>
          </cell>
          <cell r="AB22">
            <v>22</v>
          </cell>
          <cell r="AC22">
            <v>39</v>
          </cell>
          <cell r="AD22">
            <v>12</v>
          </cell>
          <cell r="AE22">
            <v>36</v>
          </cell>
          <cell r="AF22">
            <v>34</v>
          </cell>
          <cell r="AG22">
            <v>37</v>
          </cell>
          <cell r="AH22">
            <v>30</v>
          </cell>
          <cell r="AI22">
            <v>46</v>
          </cell>
        </row>
        <row r="23">
          <cell r="D23">
            <v>32</v>
          </cell>
          <cell r="E23" t="str">
            <v>00</v>
          </cell>
          <cell r="F23">
            <v>41</v>
          </cell>
          <cell r="G23">
            <v>35</v>
          </cell>
          <cell r="H23">
            <v>47</v>
          </cell>
          <cell r="I23">
            <v>53</v>
          </cell>
          <cell r="J23">
            <v>25</v>
          </cell>
          <cell r="K23">
            <v>44</v>
          </cell>
          <cell r="L23">
            <v>49</v>
          </cell>
          <cell r="M23">
            <v>48</v>
          </cell>
          <cell r="N23">
            <v>24</v>
          </cell>
          <cell r="O23">
            <v>42</v>
          </cell>
          <cell r="P23">
            <v>43</v>
          </cell>
          <cell r="Q23">
            <v>57</v>
          </cell>
          <cell r="R23">
            <v>33</v>
          </cell>
          <cell r="S23">
            <v>16</v>
          </cell>
          <cell r="T23">
            <v>38</v>
          </cell>
          <cell r="U23">
            <v>31</v>
          </cell>
          <cell r="V23">
            <v>50</v>
          </cell>
          <cell r="W23">
            <v>55</v>
          </cell>
          <cell r="X23">
            <v>19</v>
          </cell>
          <cell r="Y23" t="str">
            <v>03</v>
          </cell>
          <cell r="Z23">
            <v>21</v>
          </cell>
          <cell r="AA23" t="str">
            <v>05</v>
          </cell>
          <cell r="AB23">
            <v>22</v>
          </cell>
          <cell r="AC23">
            <v>39</v>
          </cell>
          <cell r="AD23">
            <v>12</v>
          </cell>
          <cell r="AE23">
            <v>36</v>
          </cell>
          <cell r="AF23">
            <v>34</v>
          </cell>
          <cell r="AG23">
            <v>37</v>
          </cell>
          <cell r="AH23">
            <v>30</v>
          </cell>
          <cell r="AI23">
            <v>46</v>
          </cell>
        </row>
        <row r="24">
          <cell r="D24">
            <v>32</v>
          </cell>
          <cell r="E24" t="str">
            <v>00</v>
          </cell>
          <cell r="F24">
            <v>35</v>
          </cell>
          <cell r="G24">
            <v>46</v>
          </cell>
          <cell r="H24">
            <v>29</v>
          </cell>
          <cell r="I24">
            <v>53</v>
          </cell>
          <cell r="J24">
            <v>25</v>
          </cell>
          <cell r="K24">
            <v>55</v>
          </cell>
          <cell r="L24">
            <v>49</v>
          </cell>
          <cell r="M24">
            <v>48</v>
          </cell>
          <cell r="N24">
            <v>24</v>
          </cell>
          <cell r="O24">
            <v>17</v>
          </cell>
          <cell r="P24">
            <v>43</v>
          </cell>
          <cell r="Q24">
            <v>50</v>
          </cell>
          <cell r="R24">
            <v>16</v>
          </cell>
          <cell r="S24">
            <v>44</v>
          </cell>
          <cell r="T24">
            <v>38</v>
          </cell>
          <cell r="U24">
            <v>40</v>
          </cell>
          <cell r="V24">
            <v>42</v>
          </cell>
          <cell r="W24">
            <v>11</v>
          </cell>
          <cell r="X24">
            <v>21</v>
          </cell>
          <cell r="Y24">
            <v>23</v>
          </cell>
          <cell r="Z24" t="str">
            <v>09</v>
          </cell>
          <cell r="AA24">
            <v>45</v>
          </cell>
          <cell r="AB24" t="str">
            <v>05</v>
          </cell>
          <cell r="AC24">
            <v>39</v>
          </cell>
          <cell r="AD24">
            <v>12</v>
          </cell>
          <cell r="AE24">
            <v>36</v>
          </cell>
          <cell r="AF24">
            <v>22</v>
          </cell>
          <cell r="AG24">
            <v>52</v>
          </cell>
          <cell r="AH24">
            <v>30</v>
          </cell>
          <cell r="AI24" t="str">
            <v>08</v>
          </cell>
        </row>
        <row r="25">
          <cell r="D25">
            <v>47</v>
          </cell>
          <cell r="E25">
            <v>36</v>
          </cell>
          <cell r="F25">
            <v>35</v>
          </cell>
          <cell r="G25">
            <v>46</v>
          </cell>
          <cell r="H25">
            <v>29</v>
          </cell>
          <cell r="I25">
            <v>33</v>
          </cell>
          <cell r="J25">
            <v>41</v>
          </cell>
          <cell r="K25">
            <v>55</v>
          </cell>
          <cell r="L25">
            <v>19</v>
          </cell>
          <cell r="M25">
            <v>49</v>
          </cell>
          <cell r="N25">
            <v>56</v>
          </cell>
          <cell r="O25">
            <v>17</v>
          </cell>
          <cell r="P25">
            <v>57</v>
          </cell>
          <cell r="Q25">
            <v>50</v>
          </cell>
          <cell r="R25">
            <v>16</v>
          </cell>
          <cell r="S25">
            <v>44</v>
          </cell>
          <cell r="T25">
            <v>37</v>
          </cell>
          <cell r="U25">
            <v>40</v>
          </cell>
          <cell r="V25">
            <v>42</v>
          </cell>
          <cell r="W25">
            <v>11</v>
          </cell>
          <cell r="X25">
            <v>21</v>
          </cell>
          <cell r="Y25">
            <v>23</v>
          </cell>
          <cell r="Z25" t="str">
            <v>09</v>
          </cell>
          <cell r="AA25">
            <v>45</v>
          </cell>
          <cell r="AB25" t="str">
            <v>05</v>
          </cell>
          <cell r="AC25">
            <v>52</v>
          </cell>
          <cell r="AD25">
            <v>26</v>
          </cell>
          <cell r="AE25" t="str">
            <v>07</v>
          </cell>
          <cell r="AF25">
            <v>22</v>
          </cell>
          <cell r="AG25">
            <v>30</v>
          </cell>
          <cell r="AH25">
            <v>39</v>
          </cell>
          <cell r="AI25" t="str">
            <v>08</v>
          </cell>
        </row>
        <row r="26">
          <cell r="D26" t="str">
            <v>ISTIRAHAT KE-1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</row>
        <row r="27">
          <cell r="D27">
            <v>47</v>
          </cell>
          <cell r="E27">
            <v>36</v>
          </cell>
          <cell r="F27">
            <v>24</v>
          </cell>
          <cell r="G27">
            <v>46</v>
          </cell>
          <cell r="H27">
            <v>48</v>
          </cell>
          <cell r="I27">
            <v>33</v>
          </cell>
          <cell r="J27">
            <v>41</v>
          </cell>
          <cell r="K27">
            <v>29</v>
          </cell>
          <cell r="L27">
            <v>19</v>
          </cell>
          <cell r="M27">
            <v>49</v>
          </cell>
          <cell r="N27">
            <v>56</v>
          </cell>
          <cell r="O27">
            <v>43</v>
          </cell>
          <cell r="P27">
            <v>57</v>
          </cell>
          <cell r="Q27">
            <v>28</v>
          </cell>
          <cell r="R27">
            <v>35</v>
          </cell>
          <cell r="S27">
            <v>44</v>
          </cell>
          <cell r="T27">
            <v>37</v>
          </cell>
          <cell r="U27">
            <v>40</v>
          </cell>
          <cell r="V27">
            <v>42</v>
          </cell>
          <cell r="W27">
            <v>11</v>
          </cell>
          <cell r="X27">
            <v>23</v>
          </cell>
          <cell r="Y27" t="str">
            <v>05</v>
          </cell>
          <cell r="Z27">
            <v>9</v>
          </cell>
          <cell r="AA27">
            <v>45</v>
          </cell>
          <cell r="AB27">
            <v>38</v>
          </cell>
          <cell r="AC27">
            <v>52</v>
          </cell>
          <cell r="AD27">
            <v>26</v>
          </cell>
          <cell r="AE27" t="str">
            <v>07</v>
          </cell>
          <cell r="AF27">
            <v>12</v>
          </cell>
          <cell r="AG27">
            <v>30</v>
          </cell>
          <cell r="AH27">
            <v>39</v>
          </cell>
          <cell r="AI27">
            <v>32</v>
          </cell>
        </row>
        <row r="28">
          <cell r="D28">
            <v>45</v>
          </cell>
          <cell r="E28">
            <v>31</v>
          </cell>
          <cell r="F28">
            <v>24</v>
          </cell>
          <cell r="G28">
            <v>50</v>
          </cell>
          <cell r="H28">
            <v>48</v>
          </cell>
          <cell r="I28">
            <v>33</v>
          </cell>
          <cell r="J28">
            <v>57</v>
          </cell>
          <cell r="K28">
            <v>29</v>
          </cell>
          <cell r="L28">
            <v>55</v>
          </cell>
          <cell r="M28">
            <v>47</v>
          </cell>
          <cell r="N28">
            <v>41</v>
          </cell>
          <cell r="O28">
            <v>43</v>
          </cell>
          <cell r="P28">
            <v>16</v>
          </cell>
          <cell r="Q28">
            <v>28</v>
          </cell>
          <cell r="R28">
            <v>35</v>
          </cell>
          <cell r="S28">
            <v>17</v>
          </cell>
          <cell r="T28">
            <v>52</v>
          </cell>
          <cell r="U28">
            <v>26</v>
          </cell>
          <cell r="V28">
            <v>37</v>
          </cell>
          <cell r="W28">
            <v>42</v>
          </cell>
          <cell r="X28">
            <v>23</v>
          </cell>
          <cell r="Y28" t="str">
            <v>05</v>
          </cell>
          <cell r="Z28">
            <v>3</v>
          </cell>
          <cell r="AA28">
            <v>53</v>
          </cell>
          <cell r="AB28">
            <v>38</v>
          </cell>
          <cell r="AC28">
            <v>34</v>
          </cell>
          <cell r="AD28" t="str">
            <v>07</v>
          </cell>
          <cell r="AE28">
            <v>22</v>
          </cell>
          <cell r="AF28">
            <v>12</v>
          </cell>
          <cell r="AG28">
            <v>30</v>
          </cell>
          <cell r="AH28" t="str">
            <v>08</v>
          </cell>
          <cell r="AI28">
            <v>32</v>
          </cell>
        </row>
        <row r="29">
          <cell r="D29" t="str">
            <v>ISTIRAHAT KE 2</v>
          </cell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</row>
        <row r="30">
          <cell r="D30">
            <v>45</v>
          </cell>
          <cell r="E30">
            <v>31</v>
          </cell>
          <cell r="F30">
            <v>44</v>
          </cell>
          <cell r="G30">
            <v>50</v>
          </cell>
          <cell r="H30">
            <v>48</v>
          </cell>
          <cell r="I30">
            <v>40</v>
          </cell>
          <cell r="J30">
            <v>57</v>
          </cell>
          <cell r="K30">
            <v>46</v>
          </cell>
          <cell r="L30">
            <v>55</v>
          </cell>
          <cell r="M30">
            <v>47</v>
          </cell>
          <cell r="N30">
            <v>41</v>
          </cell>
          <cell r="O30">
            <v>43</v>
          </cell>
          <cell r="P30">
            <v>16</v>
          </cell>
          <cell r="Q30">
            <v>11</v>
          </cell>
          <cell r="R30">
            <v>28</v>
          </cell>
          <cell r="S30">
            <v>17</v>
          </cell>
          <cell r="T30">
            <v>52</v>
          </cell>
          <cell r="U30">
            <v>26</v>
          </cell>
          <cell r="V30">
            <v>37</v>
          </cell>
          <cell r="W30">
            <v>42</v>
          </cell>
          <cell r="X30">
            <v>39</v>
          </cell>
          <cell r="Y30">
            <v>30</v>
          </cell>
          <cell r="Z30" t="str">
            <v>03</v>
          </cell>
          <cell r="AA30">
            <v>53</v>
          </cell>
          <cell r="AB30">
            <v>38</v>
          </cell>
          <cell r="AC30">
            <v>34</v>
          </cell>
          <cell r="AD30" t="str">
            <v>07</v>
          </cell>
          <cell r="AE30">
            <v>22</v>
          </cell>
          <cell r="AF30">
            <v>12</v>
          </cell>
          <cell r="AG30">
            <v>36</v>
          </cell>
          <cell r="AH30" t="str">
            <v>08</v>
          </cell>
          <cell r="AI30">
            <v>32</v>
          </cell>
        </row>
        <row r="31">
          <cell r="D31">
            <v>53</v>
          </cell>
          <cell r="E31">
            <v>52</v>
          </cell>
          <cell r="F31">
            <v>44</v>
          </cell>
          <cell r="G31">
            <v>41</v>
          </cell>
          <cell r="H31">
            <v>50</v>
          </cell>
          <cell r="I31">
            <v>40</v>
          </cell>
          <cell r="J31">
            <v>35</v>
          </cell>
          <cell r="K31">
            <v>46</v>
          </cell>
          <cell r="L31">
            <v>29</v>
          </cell>
          <cell r="M31">
            <v>57</v>
          </cell>
          <cell r="N31">
            <v>16</v>
          </cell>
          <cell r="O31">
            <v>12</v>
          </cell>
          <cell r="P31">
            <v>17</v>
          </cell>
          <cell r="Q31">
            <v>11</v>
          </cell>
          <cell r="R31">
            <v>28</v>
          </cell>
          <cell r="S31">
            <v>33</v>
          </cell>
          <cell r="T31">
            <v>55</v>
          </cell>
          <cell r="U31">
            <v>56</v>
          </cell>
          <cell r="V31">
            <v>47</v>
          </cell>
          <cell r="W31">
            <v>26</v>
          </cell>
          <cell r="X31">
            <v>39</v>
          </cell>
          <cell r="Y31">
            <v>30</v>
          </cell>
          <cell r="Z31">
            <v>38</v>
          </cell>
          <cell r="AA31">
            <v>22</v>
          </cell>
          <cell r="AB31">
            <v>43</v>
          </cell>
          <cell r="AC31" t="str">
            <v>03</v>
          </cell>
          <cell r="AD31">
            <v>8</v>
          </cell>
          <cell r="AE31">
            <v>34</v>
          </cell>
          <cell r="AF31">
            <v>45</v>
          </cell>
          <cell r="AG31">
            <v>36</v>
          </cell>
          <cell r="AH31">
            <v>37</v>
          </cell>
          <cell r="AI31">
            <v>48</v>
          </cell>
        </row>
        <row r="32">
          <cell r="D32">
            <v>53</v>
          </cell>
          <cell r="E32">
            <v>52</v>
          </cell>
          <cell r="F32">
            <v>44</v>
          </cell>
          <cell r="G32">
            <v>41</v>
          </cell>
          <cell r="H32">
            <v>50</v>
          </cell>
          <cell r="I32">
            <v>40</v>
          </cell>
          <cell r="J32">
            <v>35</v>
          </cell>
          <cell r="K32">
            <v>46</v>
          </cell>
          <cell r="L32">
            <v>29</v>
          </cell>
          <cell r="M32">
            <v>57</v>
          </cell>
          <cell r="N32">
            <v>16</v>
          </cell>
          <cell r="O32">
            <v>12</v>
          </cell>
          <cell r="P32">
            <v>17</v>
          </cell>
          <cell r="Q32">
            <v>11</v>
          </cell>
          <cell r="R32">
            <v>42</v>
          </cell>
          <cell r="S32">
            <v>33</v>
          </cell>
          <cell r="T32">
            <v>55</v>
          </cell>
          <cell r="U32">
            <v>56</v>
          </cell>
          <cell r="V32">
            <v>47</v>
          </cell>
          <cell r="W32">
            <v>26</v>
          </cell>
          <cell r="X32">
            <v>39</v>
          </cell>
          <cell r="Y32">
            <v>30</v>
          </cell>
          <cell r="Z32">
            <v>38</v>
          </cell>
          <cell r="AA32">
            <v>22</v>
          </cell>
          <cell r="AB32">
            <v>43</v>
          </cell>
          <cell r="AC32" t="str">
            <v>03</v>
          </cell>
          <cell r="AD32">
            <v>8</v>
          </cell>
          <cell r="AE32">
            <v>34</v>
          </cell>
          <cell r="AF32">
            <v>45</v>
          </cell>
          <cell r="AG32">
            <v>36</v>
          </cell>
          <cell r="AH32">
            <v>37</v>
          </cell>
          <cell r="AI32">
            <v>48</v>
          </cell>
        </row>
        <row r="33"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</row>
        <row r="34">
          <cell r="D34">
            <v>46</v>
          </cell>
          <cell r="E34">
            <v>14</v>
          </cell>
          <cell r="F34">
            <v>0</v>
          </cell>
          <cell r="G34">
            <v>56</v>
          </cell>
          <cell r="H34">
            <v>41</v>
          </cell>
          <cell r="I34">
            <v>49</v>
          </cell>
          <cell r="J34">
            <v>44</v>
          </cell>
          <cell r="K34">
            <v>33</v>
          </cell>
          <cell r="L34">
            <v>47</v>
          </cell>
          <cell r="M34">
            <v>55</v>
          </cell>
          <cell r="N34">
            <v>43</v>
          </cell>
          <cell r="O34" t="str">
            <v>02</v>
          </cell>
          <cell r="P34">
            <v>27</v>
          </cell>
          <cell r="Q34">
            <v>24</v>
          </cell>
          <cell r="R34">
            <v>48</v>
          </cell>
          <cell r="S34">
            <v>31</v>
          </cell>
          <cell r="T34">
            <v>50</v>
          </cell>
          <cell r="U34">
            <v>28</v>
          </cell>
          <cell r="V34">
            <v>13</v>
          </cell>
          <cell r="W34">
            <v>37</v>
          </cell>
          <cell r="X34">
            <v>38</v>
          </cell>
          <cell r="Y34">
            <v>19</v>
          </cell>
          <cell r="Z34">
            <v>5</v>
          </cell>
          <cell r="AA34">
            <v>39</v>
          </cell>
          <cell r="AB34">
            <v>18</v>
          </cell>
          <cell r="AC34" t="str">
            <v>06</v>
          </cell>
          <cell r="AD34">
            <v>36</v>
          </cell>
          <cell r="AE34" t="str">
            <v>08</v>
          </cell>
          <cell r="AF34">
            <v>32</v>
          </cell>
          <cell r="AG34">
            <v>35</v>
          </cell>
          <cell r="AH34">
            <v>4</v>
          </cell>
          <cell r="AI34">
            <v>30</v>
          </cell>
        </row>
        <row r="35">
          <cell r="D35">
            <v>46</v>
          </cell>
          <cell r="E35">
            <v>14</v>
          </cell>
          <cell r="F35">
            <v>0</v>
          </cell>
          <cell r="G35">
            <v>56</v>
          </cell>
          <cell r="H35">
            <v>41</v>
          </cell>
          <cell r="I35">
            <v>49</v>
          </cell>
          <cell r="J35">
            <v>44</v>
          </cell>
          <cell r="K35">
            <v>33</v>
          </cell>
          <cell r="L35">
            <v>47</v>
          </cell>
          <cell r="M35">
            <v>55</v>
          </cell>
          <cell r="N35">
            <v>43</v>
          </cell>
          <cell r="O35" t="str">
            <v>02</v>
          </cell>
          <cell r="P35">
            <v>27</v>
          </cell>
          <cell r="Q35">
            <v>24</v>
          </cell>
          <cell r="R35">
            <v>48</v>
          </cell>
          <cell r="S35">
            <v>31</v>
          </cell>
          <cell r="T35">
            <v>50</v>
          </cell>
          <cell r="U35">
            <v>28</v>
          </cell>
          <cell r="V35">
            <v>13</v>
          </cell>
          <cell r="W35">
            <v>37</v>
          </cell>
          <cell r="X35">
            <v>38</v>
          </cell>
          <cell r="Y35">
            <v>19</v>
          </cell>
          <cell r="Z35">
            <v>5</v>
          </cell>
          <cell r="AA35">
            <v>39</v>
          </cell>
          <cell r="AB35">
            <v>18</v>
          </cell>
          <cell r="AC35" t="str">
            <v>06</v>
          </cell>
          <cell r="AD35">
            <v>36</v>
          </cell>
          <cell r="AE35" t="str">
            <v>08</v>
          </cell>
          <cell r="AF35">
            <v>32</v>
          </cell>
          <cell r="AG35">
            <v>35</v>
          </cell>
          <cell r="AH35">
            <v>4</v>
          </cell>
          <cell r="AI35">
            <v>30</v>
          </cell>
        </row>
        <row r="36">
          <cell r="D36">
            <v>46</v>
          </cell>
          <cell r="E36">
            <v>41</v>
          </cell>
          <cell r="F36">
            <v>0</v>
          </cell>
          <cell r="G36">
            <v>31</v>
          </cell>
          <cell r="H36">
            <v>49</v>
          </cell>
          <cell r="I36">
            <v>35</v>
          </cell>
          <cell r="J36">
            <v>13</v>
          </cell>
          <cell r="K36">
            <v>33</v>
          </cell>
          <cell r="L36">
            <v>44</v>
          </cell>
          <cell r="M36">
            <v>25</v>
          </cell>
          <cell r="N36">
            <v>43</v>
          </cell>
          <cell r="O36">
            <v>15</v>
          </cell>
          <cell r="P36">
            <v>27</v>
          </cell>
          <cell r="Q36">
            <v>24</v>
          </cell>
          <cell r="R36">
            <v>48</v>
          </cell>
          <cell r="S36">
            <v>28</v>
          </cell>
          <cell r="T36">
            <v>14</v>
          </cell>
          <cell r="U36">
            <v>50</v>
          </cell>
          <cell r="V36">
            <v>40</v>
          </cell>
          <cell r="W36">
            <v>38</v>
          </cell>
          <cell r="X36">
            <v>23</v>
          </cell>
          <cell r="Y36">
            <v>9</v>
          </cell>
          <cell r="Z36">
            <v>18</v>
          </cell>
          <cell r="AA36">
            <v>39</v>
          </cell>
          <cell r="AB36" t="str">
            <v>03</v>
          </cell>
          <cell r="AC36" t="str">
            <v>05</v>
          </cell>
          <cell r="AD36">
            <v>36</v>
          </cell>
          <cell r="AE36" t="str">
            <v>07</v>
          </cell>
          <cell r="AF36">
            <v>32</v>
          </cell>
          <cell r="AG36" t="str">
            <v>08</v>
          </cell>
          <cell r="AH36">
            <v>53</v>
          </cell>
          <cell r="AI36">
            <v>30</v>
          </cell>
        </row>
        <row r="37">
          <cell r="D37" t="str">
            <v>06</v>
          </cell>
          <cell r="E37">
            <v>41</v>
          </cell>
          <cell r="F37">
            <v>36</v>
          </cell>
          <cell r="G37">
            <v>31</v>
          </cell>
          <cell r="H37">
            <v>49</v>
          </cell>
          <cell r="I37">
            <v>35</v>
          </cell>
          <cell r="J37">
            <v>13</v>
          </cell>
          <cell r="K37">
            <v>47</v>
          </cell>
          <cell r="L37">
            <v>44</v>
          </cell>
          <cell r="M37">
            <v>25</v>
          </cell>
          <cell r="N37" t="str">
            <v>02</v>
          </cell>
          <cell r="O37">
            <v>15</v>
          </cell>
          <cell r="P37">
            <v>19</v>
          </cell>
          <cell r="Q37">
            <v>16</v>
          </cell>
          <cell r="R37">
            <v>55</v>
          </cell>
          <cell r="S37">
            <v>28</v>
          </cell>
          <cell r="T37">
            <v>14</v>
          </cell>
          <cell r="U37">
            <v>50</v>
          </cell>
          <cell r="V37">
            <v>40</v>
          </cell>
          <cell r="W37">
            <v>38</v>
          </cell>
          <cell r="X37">
            <v>23</v>
          </cell>
          <cell r="Y37">
            <v>9</v>
          </cell>
          <cell r="Z37">
            <v>18</v>
          </cell>
          <cell r="AA37">
            <v>46</v>
          </cell>
          <cell r="AB37" t="str">
            <v>03</v>
          </cell>
          <cell r="AC37" t="str">
            <v>05</v>
          </cell>
          <cell r="AD37">
            <v>34</v>
          </cell>
          <cell r="AE37" t="str">
            <v>07</v>
          </cell>
          <cell r="AF37">
            <v>56</v>
          </cell>
          <cell r="AG37" t="str">
            <v>08</v>
          </cell>
          <cell r="AH37">
            <v>53</v>
          </cell>
          <cell r="AI37">
            <v>37</v>
          </cell>
        </row>
        <row r="38">
          <cell r="D38" t="str">
            <v>ISTIRAHAT KE-1</v>
          </cell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</row>
        <row r="39">
          <cell r="D39" t="str">
            <v>06</v>
          </cell>
          <cell r="E39">
            <v>50</v>
          </cell>
          <cell r="F39">
            <v>36</v>
          </cell>
          <cell r="G39">
            <v>44</v>
          </cell>
          <cell r="H39">
            <v>53</v>
          </cell>
          <cell r="I39">
            <v>41</v>
          </cell>
          <cell r="J39">
            <v>48</v>
          </cell>
          <cell r="K39">
            <v>47</v>
          </cell>
          <cell r="L39">
            <v>33</v>
          </cell>
          <cell r="M39">
            <v>25</v>
          </cell>
          <cell r="N39" t="str">
            <v>02</v>
          </cell>
          <cell r="O39">
            <v>27</v>
          </cell>
          <cell r="P39">
            <v>19</v>
          </cell>
          <cell r="Q39">
            <v>16</v>
          </cell>
          <cell r="R39">
            <v>55</v>
          </cell>
          <cell r="S39">
            <v>14</v>
          </cell>
          <cell r="T39">
            <v>49</v>
          </cell>
          <cell r="U39">
            <v>39</v>
          </cell>
          <cell r="V39">
            <v>40</v>
          </cell>
          <cell r="W39">
            <v>38</v>
          </cell>
          <cell r="X39">
            <v>15</v>
          </cell>
          <cell r="Y39" t="str">
            <v>09</v>
          </cell>
          <cell r="Z39">
            <v>23</v>
          </cell>
          <cell r="AA39">
            <v>46</v>
          </cell>
          <cell r="AB39" t="str">
            <v>05</v>
          </cell>
          <cell r="AC39">
            <v>43</v>
          </cell>
          <cell r="AD39">
            <v>34</v>
          </cell>
          <cell r="AE39">
            <v>45</v>
          </cell>
          <cell r="AF39">
            <v>56</v>
          </cell>
          <cell r="AG39">
            <v>32</v>
          </cell>
          <cell r="AH39" t="str">
            <v>07</v>
          </cell>
          <cell r="AI39">
            <v>37</v>
          </cell>
        </row>
        <row r="40">
          <cell r="D40" t="str">
            <v>06</v>
          </cell>
          <cell r="E40">
            <v>50</v>
          </cell>
          <cell r="F40">
            <v>31</v>
          </cell>
          <cell r="G40">
            <v>44</v>
          </cell>
          <cell r="H40">
            <v>53</v>
          </cell>
          <cell r="I40">
            <v>41</v>
          </cell>
          <cell r="J40">
            <v>48</v>
          </cell>
          <cell r="K40">
            <v>35</v>
          </cell>
          <cell r="L40">
            <v>33</v>
          </cell>
          <cell r="M40">
            <v>29</v>
          </cell>
          <cell r="N40">
            <v>56</v>
          </cell>
          <cell r="O40">
            <v>27</v>
          </cell>
          <cell r="P40">
            <v>28</v>
          </cell>
          <cell r="Q40">
            <v>47</v>
          </cell>
          <cell r="R40">
            <v>16</v>
          </cell>
          <cell r="S40">
            <v>14</v>
          </cell>
          <cell r="T40">
            <v>49</v>
          </cell>
          <cell r="U40">
            <v>55</v>
          </cell>
          <cell r="V40">
            <v>37</v>
          </cell>
          <cell r="W40">
            <v>13</v>
          </cell>
          <cell r="X40">
            <v>15</v>
          </cell>
          <cell r="Y40" t="str">
            <v>02</v>
          </cell>
          <cell r="Z40">
            <v>23</v>
          </cell>
          <cell r="AA40" t="str">
            <v>03</v>
          </cell>
          <cell r="AB40" t="str">
            <v>05</v>
          </cell>
          <cell r="AC40">
            <v>43</v>
          </cell>
          <cell r="AD40">
            <v>4</v>
          </cell>
          <cell r="AE40">
            <v>45</v>
          </cell>
          <cell r="AF40" t="str">
            <v>08</v>
          </cell>
          <cell r="AG40">
            <v>32</v>
          </cell>
          <cell r="AH40" t="str">
            <v>07</v>
          </cell>
          <cell r="AI40">
            <v>34</v>
          </cell>
        </row>
        <row r="41">
          <cell r="D41" t="str">
            <v>ISTIRAHAT KE 2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</row>
        <row r="42">
          <cell r="D42">
            <v>44</v>
          </cell>
          <cell r="E42">
            <v>18</v>
          </cell>
          <cell r="F42">
            <v>31</v>
          </cell>
          <cell r="G42">
            <v>25</v>
          </cell>
          <cell r="H42">
            <v>53</v>
          </cell>
          <cell r="I42">
            <v>46</v>
          </cell>
          <cell r="J42">
            <v>48</v>
          </cell>
          <cell r="K42">
            <v>35</v>
          </cell>
          <cell r="L42">
            <v>33</v>
          </cell>
          <cell r="M42">
            <v>29</v>
          </cell>
          <cell r="N42">
            <v>56</v>
          </cell>
          <cell r="O42">
            <v>27</v>
          </cell>
          <cell r="P42">
            <v>28</v>
          </cell>
          <cell r="Q42">
            <v>47</v>
          </cell>
          <cell r="R42">
            <v>16</v>
          </cell>
          <cell r="S42">
            <v>43</v>
          </cell>
          <cell r="T42">
            <v>49</v>
          </cell>
          <cell r="U42">
            <v>55</v>
          </cell>
          <cell r="V42">
            <v>37</v>
          </cell>
          <cell r="W42">
            <v>13</v>
          </cell>
          <cell r="X42">
            <v>30</v>
          </cell>
          <cell r="Y42" t="str">
            <v>02</v>
          </cell>
          <cell r="Z42">
            <v>45</v>
          </cell>
          <cell r="AA42" t="str">
            <v>03</v>
          </cell>
          <cell r="AB42">
            <v>39</v>
          </cell>
          <cell r="AC42">
            <v>41</v>
          </cell>
          <cell r="AD42">
            <v>4</v>
          </cell>
          <cell r="AE42">
            <v>38</v>
          </cell>
          <cell r="AF42" t="str">
            <v>08</v>
          </cell>
          <cell r="AG42">
            <v>32</v>
          </cell>
          <cell r="AH42">
            <v>36</v>
          </cell>
          <cell r="AI42">
            <v>34</v>
          </cell>
        </row>
        <row r="43">
          <cell r="D43">
            <v>44</v>
          </cell>
          <cell r="E43">
            <v>18</v>
          </cell>
          <cell r="F43">
            <v>56</v>
          </cell>
          <cell r="G43">
            <v>25</v>
          </cell>
          <cell r="H43">
            <v>34</v>
          </cell>
          <cell r="I43">
            <v>46</v>
          </cell>
          <cell r="J43">
            <v>29</v>
          </cell>
          <cell r="K43">
            <v>50</v>
          </cell>
          <cell r="L43">
            <v>15</v>
          </cell>
          <cell r="M43">
            <v>31</v>
          </cell>
          <cell r="N43">
            <v>17</v>
          </cell>
          <cell r="O43">
            <v>16</v>
          </cell>
          <cell r="P43">
            <v>35</v>
          </cell>
          <cell r="Q43">
            <v>33</v>
          </cell>
          <cell r="R43">
            <v>47</v>
          </cell>
          <cell r="S43">
            <v>43</v>
          </cell>
          <cell r="T43">
            <v>13</v>
          </cell>
          <cell r="U43">
            <v>37</v>
          </cell>
          <cell r="V43">
            <v>55</v>
          </cell>
          <cell r="W43">
            <v>28</v>
          </cell>
          <cell r="X43">
            <v>30</v>
          </cell>
          <cell r="Y43">
            <v>6</v>
          </cell>
          <cell r="Z43">
            <v>45</v>
          </cell>
          <cell r="AA43">
            <v>2</v>
          </cell>
          <cell r="AB43">
            <v>39</v>
          </cell>
          <cell r="AC43">
            <v>41</v>
          </cell>
          <cell r="AD43">
            <v>8</v>
          </cell>
          <cell r="AE43">
            <v>38</v>
          </cell>
          <cell r="AF43">
            <v>4</v>
          </cell>
          <cell r="AG43">
            <v>48</v>
          </cell>
          <cell r="AH43">
            <v>36</v>
          </cell>
          <cell r="AI43" t="str">
            <v>07</v>
          </cell>
        </row>
        <row r="44">
          <cell r="D44">
            <v>44</v>
          </cell>
          <cell r="E44">
            <v>18</v>
          </cell>
          <cell r="F44">
            <v>56</v>
          </cell>
          <cell r="G44">
            <v>25</v>
          </cell>
          <cell r="H44">
            <v>34</v>
          </cell>
          <cell r="I44">
            <v>46</v>
          </cell>
          <cell r="J44">
            <v>29</v>
          </cell>
          <cell r="K44">
            <v>50</v>
          </cell>
          <cell r="L44">
            <v>15</v>
          </cell>
          <cell r="M44">
            <v>31</v>
          </cell>
          <cell r="N44">
            <v>17</v>
          </cell>
          <cell r="O44">
            <v>16</v>
          </cell>
          <cell r="P44">
            <v>35</v>
          </cell>
          <cell r="Q44">
            <v>33</v>
          </cell>
          <cell r="R44">
            <v>47</v>
          </cell>
          <cell r="S44">
            <v>43</v>
          </cell>
          <cell r="T44">
            <v>13</v>
          </cell>
          <cell r="U44">
            <v>37</v>
          </cell>
          <cell r="V44">
            <v>55</v>
          </cell>
          <cell r="W44">
            <v>28</v>
          </cell>
          <cell r="X44">
            <v>30</v>
          </cell>
          <cell r="Y44">
            <v>6</v>
          </cell>
          <cell r="Z44">
            <v>45</v>
          </cell>
          <cell r="AA44">
            <v>2</v>
          </cell>
          <cell r="AB44">
            <v>39</v>
          </cell>
          <cell r="AC44">
            <v>41</v>
          </cell>
          <cell r="AD44">
            <v>8</v>
          </cell>
          <cell r="AE44">
            <v>38</v>
          </cell>
          <cell r="AF44">
            <v>4</v>
          </cell>
          <cell r="AG44">
            <v>48</v>
          </cell>
          <cell r="AH44">
            <v>36</v>
          </cell>
          <cell r="AI44" t="str">
            <v>07</v>
          </cell>
        </row>
        <row r="45"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</row>
        <row r="46">
          <cell r="D46" t="str">
            <v>00</v>
          </cell>
          <cell r="E46">
            <v>46</v>
          </cell>
          <cell r="F46">
            <v>18</v>
          </cell>
          <cell r="G46">
            <v>44</v>
          </cell>
          <cell r="H46">
            <v>40</v>
          </cell>
          <cell r="I46">
            <v>34</v>
          </cell>
          <cell r="J46">
            <v>50</v>
          </cell>
          <cell r="K46">
            <v>29</v>
          </cell>
          <cell r="L46">
            <v>25</v>
          </cell>
          <cell r="M46">
            <v>15</v>
          </cell>
          <cell r="N46">
            <v>42</v>
          </cell>
          <cell r="O46" t="str">
            <v>02</v>
          </cell>
          <cell r="P46">
            <v>24</v>
          </cell>
          <cell r="Q46">
            <v>17</v>
          </cell>
          <cell r="R46">
            <v>57</v>
          </cell>
          <cell r="S46">
            <v>11</v>
          </cell>
          <cell r="T46">
            <v>37</v>
          </cell>
          <cell r="U46">
            <v>38</v>
          </cell>
          <cell r="V46">
            <v>52</v>
          </cell>
          <cell r="W46">
            <v>49</v>
          </cell>
          <cell r="X46" t="str">
            <v>05</v>
          </cell>
          <cell r="Y46">
            <v>3</v>
          </cell>
          <cell r="Z46">
            <v>21</v>
          </cell>
          <cell r="AA46">
            <v>43</v>
          </cell>
          <cell r="AB46">
            <v>41</v>
          </cell>
          <cell r="AC46">
            <v>19</v>
          </cell>
          <cell r="AD46">
            <v>27</v>
          </cell>
          <cell r="AE46">
            <v>12</v>
          </cell>
          <cell r="AF46">
            <v>36</v>
          </cell>
          <cell r="AG46" t="str">
            <v>04</v>
          </cell>
          <cell r="AH46">
            <v>48</v>
          </cell>
          <cell r="AI46">
            <v>26</v>
          </cell>
        </row>
        <row r="47">
          <cell r="D47" t="str">
            <v>00</v>
          </cell>
          <cell r="E47">
            <v>46</v>
          </cell>
          <cell r="F47">
            <v>18</v>
          </cell>
          <cell r="G47">
            <v>44</v>
          </cell>
          <cell r="H47">
            <v>40</v>
          </cell>
          <cell r="I47">
            <v>34</v>
          </cell>
          <cell r="J47">
            <v>50</v>
          </cell>
          <cell r="K47">
            <v>29</v>
          </cell>
          <cell r="L47">
            <v>25</v>
          </cell>
          <cell r="M47">
            <v>15</v>
          </cell>
          <cell r="N47">
            <v>42</v>
          </cell>
          <cell r="O47" t="str">
            <v>02</v>
          </cell>
          <cell r="P47">
            <v>24</v>
          </cell>
          <cell r="Q47">
            <v>17</v>
          </cell>
          <cell r="R47">
            <v>57</v>
          </cell>
          <cell r="S47">
            <v>11</v>
          </cell>
          <cell r="T47">
            <v>37</v>
          </cell>
          <cell r="U47">
            <v>38</v>
          </cell>
          <cell r="V47">
            <v>52</v>
          </cell>
          <cell r="W47">
            <v>49</v>
          </cell>
          <cell r="X47" t="str">
            <v>05</v>
          </cell>
          <cell r="Y47">
            <v>3</v>
          </cell>
          <cell r="Z47">
            <v>21</v>
          </cell>
          <cell r="AA47">
            <v>43</v>
          </cell>
          <cell r="AB47">
            <v>41</v>
          </cell>
          <cell r="AC47">
            <v>19</v>
          </cell>
          <cell r="AD47">
            <v>27</v>
          </cell>
          <cell r="AE47">
            <v>12</v>
          </cell>
          <cell r="AF47">
            <v>36</v>
          </cell>
          <cell r="AG47" t="str">
            <v>04</v>
          </cell>
          <cell r="AH47">
            <v>48</v>
          </cell>
          <cell r="AI47">
            <v>26</v>
          </cell>
        </row>
        <row r="48">
          <cell r="D48" t="str">
            <v>00</v>
          </cell>
          <cell r="E48">
            <v>46</v>
          </cell>
          <cell r="F48">
            <v>18</v>
          </cell>
          <cell r="G48">
            <v>56</v>
          </cell>
          <cell r="H48">
            <v>40</v>
          </cell>
          <cell r="I48">
            <v>48</v>
          </cell>
          <cell r="J48">
            <v>53</v>
          </cell>
          <cell r="K48">
            <v>13</v>
          </cell>
          <cell r="L48">
            <v>25</v>
          </cell>
          <cell r="M48">
            <v>33</v>
          </cell>
          <cell r="N48">
            <v>19</v>
          </cell>
          <cell r="O48">
            <v>17</v>
          </cell>
          <cell r="P48">
            <v>24</v>
          </cell>
          <cell r="Q48">
            <v>42</v>
          </cell>
          <cell r="R48">
            <v>43</v>
          </cell>
          <cell r="S48">
            <v>11</v>
          </cell>
          <cell r="T48">
            <v>57</v>
          </cell>
          <cell r="U48">
            <v>38</v>
          </cell>
          <cell r="V48">
            <v>26</v>
          </cell>
          <cell r="W48">
            <v>49</v>
          </cell>
          <cell r="X48">
            <v>45</v>
          </cell>
          <cell r="Y48">
            <v>21</v>
          </cell>
          <cell r="Z48" t="str">
            <v>03</v>
          </cell>
          <cell r="AA48">
            <v>9</v>
          </cell>
          <cell r="AB48">
            <v>41</v>
          </cell>
          <cell r="AC48">
            <v>30</v>
          </cell>
          <cell r="AD48" t="str">
            <v>04</v>
          </cell>
          <cell r="AE48">
            <v>12</v>
          </cell>
          <cell r="AF48">
            <v>36</v>
          </cell>
          <cell r="AG48">
            <v>34</v>
          </cell>
          <cell r="AH48">
            <v>32</v>
          </cell>
          <cell r="AI48">
            <v>37</v>
          </cell>
        </row>
        <row r="49">
          <cell r="D49">
            <v>24</v>
          </cell>
          <cell r="E49">
            <v>44</v>
          </cell>
          <cell r="F49">
            <v>46</v>
          </cell>
          <cell r="G49">
            <v>56</v>
          </cell>
          <cell r="H49">
            <v>25</v>
          </cell>
          <cell r="I49">
            <v>48</v>
          </cell>
          <cell r="J49">
            <v>53</v>
          </cell>
          <cell r="K49">
            <v>13</v>
          </cell>
          <cell r="L49">
            <v>11</v>
          </cell>
          <cell r="M49">
            <v>33</v>
          </cell>
          <cell r="N49">
            <v>19</v>
          </cell>
          <cell r="O49">
            <v>17</v>
          </cell>
          <cell r="P49">
            <v>42</v>
          </cell>
          <cell r="Q49">
            <v>15</v>
          </cell>
          <cell r="R49">
            <v>43</v>
          </cell>
          <cell r="S49">
            <v>50</v>
          </cell>
          <cell r="T49">
            <v>57</v>
          </cell>
          <cell r="U49">
            <v>52</v>
          </cell>
          <cell r="V49">
            <v>26</v>
          </cell>
          <cell r="W49">
            <v>14</v>
          </cell>
          <cell r="X49">
            <v>45</v>
          </cell>
          <cell r="Y49">
            <v>21</v>
          </cell>
          <cell r="Z49" t="str">
            <v>03</v>
          </cell>
          <cell r="AA49">
            <v>9</v>
          </cell>
          <cell r="AB49">
            <v>6</v>
          </cell>
          <cell r="AC49">
            <v>30</v>
          </cell>
          <cell r="AD49" t="str">
            <v>04</v>
          </cell>
          <cell r="AE49">
            <v>22</v>
          </cell>
          <cell r="AF49">
            <v>7</v>
          </cell>
          <cell r="AG49">
            <v>34</v>
          </cell>
          <cell r="AH49">
            <v>32</v>
          </cell>
          <cell r="AI49">
            <v>37</v>
          </cell>
        </row>
        <row r="50">
          <cell r="D50" t="str">
            <v>ISTIRAHAT KE-1</v>
          </cell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</row>
        <row r="51">
          <cell r="D51">
            <v>24</v>
          </cell>
          <cell r="E51">
            <v>44</v>
          </cell>
          <cell r="F51">
            <v>46</v>
          </cell>
          <cell r="G51">
            <v>36</v>
          </cell>
          <cell r="H51">
            <v>25</v>
          </cell>
          <cell r="I51">
            <v>48</v>
          </cell>
          <cell r="J51">
            <v>53</v>
          </cell>
          <cell r="K51">
            <v>19</v>
          </cell>
          <cell r="L51">
            <v>11</v>
          </cell>
          <cell r="M51">
            <v>33</v>
          </cell>
          <cell r="N51">
            <v>27</v>
          </cell>
          <cell r="O51">
            <v>56</v>
          </cell>
          <cell r="P51">
            <v>42</v>
          </cell>
          <cell r="Q51">
            <v>15</v>
          </cell>
          <cell r="R51">
            <v>43</v>
          </cell>
          <cell r="S51">
            <v>50</v>
          </cell>
          <cell r="T51">
            <v>13</v>
          </cell>
          <cell r="U51">
            <v>52</v>
          </cell>
          <cell r="V51">
            <v>49</v>
          </cell>
          <cell r="W51">
            <v>14</v>
          </cell>
          <cell r="X51">
            <v>45</v>
          </cell>
          <cell r="Y51">
            <v>23</v>
          </cell>
          <cell r="Z51" t="str">
            <v>05</v>
          </cell>
          <cell r="AA51" t="str">
            <v>09</v>
          </cell>
          <cell r="AB51">
            <v>6</v>
          </cell>
          <cell r="AC51">
            <v>30</v>
          </cell>
          <cell r="AD51">
            <v>41</v>
          </cell>
          <cell r="AE51">
            <v>22</v>
          </cell>
          <cell r="AF51">
            <v>7</v>
          </cell>
          <cell r="AG51">
            <v>12</v>
          </cell>
          <cell r="AH51">
            <v>32</v>
          </cell>
          <cell r="AI51" t="str">
            <v>04</v>
          </cell>
        </row>
        <row r="52">
          <cell r="D52">
            <v>14</v>
          </cell>
          <cell r="E52">
            <v>44</v>
          </cell>
          <cell r="F52">
            <v>46</v>
          </cell>
          <cell r="G52">
            <v>36</v>
          </cell>
          <cell r="H52">
            <v>25</v>
          </cell>
          <cell r="I52">
            <v>57</v>
          </cell>
          <cell r="J52">
            <v>34</v>
          </cell>
          <cell r="K52">
            <v>19</v>
          </cell>
          <cell r="L52">
            <v>11</v>
          </cell>
          <cell r="M52">
            <v>29</v>
          </cell>
          <cell r="N52">
            <v>27</v>
          </cell>
          <cell r="O52">
            <v>56</v>
          </cell>
          <cell r="P52" t="str">
            <v>02</v>
          </cell>
          <cell r="Q52">
            <v>33</v>
          </cell>
          <cell r="R52">
            <v>17</v>
          </cell>
          <cell r="S52">
            <v>26</v>
          </cell>
          <cell r="T52">
            <v>13</v>
          </cell>
          <cell r="U52">
            <v>37</v>
          </cell>
          <cell r="V52">
            <v>49</v>
          </cell>
          <cell r="W52">
            <v>50</v>
          </cell>
          <cell r="X52">
            <v>3</v>
          </cell>
          <cell r="Y52">
            <v>23</v>
          </cell>
          <cell r="Z52" t="str">
            <v>05</v>
          </cell>
          <cell r="AA52">
            <v>15</v>
          </cell>
          <cell r="AB52">
            <v>18</v>
          </cell>
          <cell r="AC52">
            <v>42</v>
          </cell>
          <cell r="AD52">
            <v>41</v>
          </cell>
          <cell r="AE52">
            <v>52</v>
          </cell>
          <cell r="AF52">
            <v>22</v>
          </cell>
          <cell r="AG52">
            <v>12</v>
          </cell>
          <cell r="AH52" t="str">
            <v>07</v>
          </cell>
          <cell r="AI52" t="str">
            <v>04</v>
          </cell>
        </row>
        <row r="53">
          <cell r="D53" t="str">
            <v>ISTIRAHAT KE 2</v>
          </cell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</row>
        <row r="54">
          <cell r="D54">
            <v>14</v>
          </cell>
          <cell r="E54" t="str">
            <v>06</v>
          </cell>
          <cell r="F54">
            <v>25</v>
          </cell>
          <cell r="G54">
            <v>48</v>
          </cell>
          <cell r="H54">
            <v>46</v>
          </cell>
          <cell r="I54">
            <v>57</v>
          </cell>
          <cell r="J54">
            <v>34</v>
          </cell>
          <cell r="K54">
            <v>40</v>
          </cell>
          <cell r="L54">
            <v>43</v>
          </cell>
          <cell r="M54">
            <v>29</v>
          </cell>
          <cell r="N54">
            <v>27</v>
          </cell>
          <cell r="O54">
            <v>11</v>
          </cell>
          <cell r="P54" t="str">
            <v>02</v>
          </cell>
          <cell r="Q54">
            <v>33</v>
          </cell>
          <cell r="R54">
            <v>17</v>
          </cell>
          <cell r="S54">
            <v>26</v>
          </cell>
          <cell r="T54">
            <v>39</v>
          </cell>
          <cell r="U54">
            <v>37</v>
          </cell>
          <cell r="V54">
            <v>49</v>
          </cell>
          <cell r="W54">
            <v>50</v>
          </cell>
          <cell r="X54">
            <v>3</v>
          </cell>
          <cell r="Y54">
            <v>45</v>
          </cell>
          <cell r="Z54">
            <v>30</v>
          </cell>
          <cell r="AA54">
            <v>15</v>
          </cell>
          <cell r="AB54">
            <v>18</v>
          </cell>
          <cell r="AC54">
            <v>42</v>
          </cell>
          <cell r="AD54">
            <v>32</v>
          </cell>
          <cell r="AE54">
            <v>52</v>
          </cell>
          <cell r="AF54">
            <v>22</v>
          </cell>
          <cell r="AG54">
            <v>12</v>
          </cell>
          <cell r="AH54" t="str">
            <v>07</v>
          </cell>
          <cell r="AI54">
            <v>36</v>
          </cell>
        </row>
        <row r="55">
          <cell r="D55">
            <v>13</v>
          </cell>
          <cell r="E55" t="str">
            <v>06</v>
          </cell>
          <cell r="F55">
            <v>25</v>
          </cell>
          <cell r="G55">
            <v>48</v>
          </cell>
          <cell r="H55">
            <v>46</v>
          </cell>
          <cell r="I55">
            <v>29</v>
          </cell>
          <cell r="J55">
            <v>44</v>
          </cell>
          <cell r="K55">
            <v>40</v>
          </cell>
          <cell r="L55">
            <v>43</v>
          </cell>
          <cell r="M55">
            <v>50</v>
          </cell>
          <cell r="N55">
            <v>15</v>
          </cell>
          <cell r="O55">
            <v>11</v>
          </cell>
          <cell r="P55">
            <v>17</v>
          </cell>
          <cell r="Q55">
            <v>56</v>
          </cell>
          <cell r="R55">
            <v>42</v>
          </cell>
          <cell r="S55">
            <v>33</v>
          </cell>
          <cell r="T55">
            <v>26</v>
          </cell>
          <cell r="U55">
            <v>57</v>
          </cell>
          <cell r="V55">
            <v>14</v>
          </cell>
          <cell r="W55">
            <v>52</v>
          </cell>
          <cell r="X55">
            <v>2</v>
          </cell>
          <cell r="Y55">
            <v>45</v>
          </cell>
          <cell r="Z55">
            <v>30</v>
          </cell>
          <cell r="AA55" t="str">
            <v>03</v>
          </cell>
          <cell r="AB55">
            <v>22</v>
          </cell>
          <cell r="AC55">
            <v>18</v>
          </cell>
          <cell r="AD55">
            <v>32</v>
          </cell>
          <cell r="AE55">
            <v>41</v>
          </cell>
          <cell r="AF55">
            <v>27</v>
          </cell>
          <cell r="AG55">
            <v>7</v>
          </cell>
          <cell r="AH55">
            <v>34</v>
          </cell>
          <cell r="AI55">
            <v>36</v>
          </cell>
        </row>
        <row r="56">
          <cell r="D56">
            <v>13</v>
          </cell>
          <cell r="E56" t="str">
            <v>06</v>
          </cell>
          <cell r="F56">
            <v>25</v>
          </cell>
          <cell r="G56">
            <v>48</v>
          </cell>
          <cell r="H56">
            <v>46</v>
          </cell>
          <cell r="I56">
            <v>29</v>
          </cell>
          <cell r="J56">
            <v>44</v>
          </cell>
          <cell r="K56">
            <v>40</v>
          </cell>
          <cell r="L56">
            <v>43</v>
          </cell>
          <cell r="M56">
            <v>50</v>
          </cell>
          <cell r="N56">
            <v>15</v>
          </cell>
          <cell r="O56">
            <v>11</v>
          </cell>
          <cell r="P56">
            <v>17</v>
          </cell>
          <cell r="Q56">
            <v>56</v>
          </cell>
          <cell r="R56">
            <v>42</v>
          </cell>
          <cell r="S56">
            <v>33</v>
          </cell>
          <cell r="T56">
            <v>26</v>
          </cell>
          <cell r="U56">
            <v>57</v>
          </cell>
          <cell r="V56">
            <v>14</v>
          </cell>
          <cell r="W56">
            <v>52</v>
          </cell>
          <cell r="X56">
            <v>2</v>
          </cell>
          <cell r="Y56">
            <v>45</v>
          </cell>
          <cell r="Z56">
            <v>30</v>
          </cell>
          <cell r="AA56" t="str">
            <v>03</v>
          </cell>
          <cell r="AB56">
            <v>22</v>
          </cell>
          <cell r="AC56">
            <v>18</v>
          </cell>
          <cell r="AD56">
            <v>32</v>
          </cell>
          <cell r="AE56">
            <v>41</v>
          </cell>
          <cell r="AF56">
            <v>27</v>
          </cell>
          <cell r="AG56">
            <v>7</v>
          </cell>
          <cell r="AH56">
            <v>34</v>
          </cell>
          <cell r="AI56">
            <v>36</v>
          </cell>
        </row>
        <row r="57"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</row>
        <row r="58">
          <cell r="D58" t="str">
            <v>PEMBIASAAN</v>
          </cell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</row>
        <row r="59">
          <cell r="D59">
            <v>19</v>
          </cell>
          <cell r="E59">
            <v>24</v>
          </cell>
          <cell r="F59">
            <v>50</v>
          </cell>
          <cell r="G59">
            <v>40</v>
          </cell>
          <cell r="H59">
            <v>49</v>
          </cell>
          <cell r="I59">
            <v>36</v>
          </cell>
          <cell r="J59">
            <v>46</v>
          </cell>
          <cell r="K59">
            <v>34</v>
          </cell>
          <cell r="L59">
            <v>57</v>
          </cell>
          <cell r="M59">
            <v>35</v>
          </cell>
          <cell r="N59">
            <v>12</v>
          </cell>
          <cell r="O59">
            <v>28</v>
          </cell>
          <cell r="P59">
            <v>15</v>
          </cell>
          <cell r="Q59">
            <v>39</v>
          </cell>
          <cell r="R59">
            <v>47</v>
          </cell>
          <cell r="S59">
            <v>16</v>
          </cell>
          <cell r="T59">
            <v>55</v>
          </cell>
          <cell r="U59">
            <v>13</v>
          </cell>
          <cell r="V59">
            <v>31</v>
          </cell>
          <cell r="W59">
            <v>14</v>
          </cell>
          <cell r="X59" t="str">
            <v>03</v>
          </cell>
          <cell r="Y59">
            <v>52</v>
          </cell>
          <cell r="Z59" t="str">
            <v>06</v>
          </cell>
          <cell r="AA59">
            <v>2</v>
          </cell>
          <cell r="AB59">
            <v>42</v>
          </cell>
          <cell r="AC59">
            <v>22</v>
          </cell>
          <cell r="AD59">
            <v>41</v>
          </cell>
          <cell r="AE59">
            <v>4</v>
          </cell>
          <cell r="AF59">
            <v>56</v>
          </cell>
          <cell r="AG59">
            <v>27</v>
          </cell>
          <cell r="AH59">
            <v>26</v>
          </cell>
          <cell r="AI59">
            <v>48</v>
          </cell>
        </row>
        <row r="60">
          <cell r="D60">
            <v>19</v>
          </cell>
          <cell r="E60">
            <v>24</v>
          </cell>
          <cell r="F60">
            <v>50</v>
          </cell>
          <cell r="G60">
            <v>40</v>
          </cell>
          <cell r="H60">
            <v>49</v>
          </cell>
          <cell r="I60">
            <v>36</v>
          </cell>
          <cell r="J60">
            <v>46</v>
          </cell>
          <cell r="K60">
            <v>34</v>
          </cell>
          <cell r="L60">
            <v>57</v>
          </cell>
          <cell r="M60">
            <v>35</v>
          </cell>
          <cell r="N60">
            <v>12</v>
          </cell>
          <cell r="O60">
            <v>28</v>
          </cell>
          <cell r="P60">
            <v>15</v>
          </cell>
          <cell r="Q60">
            <v>39</v>
          </cell>
          <cell r="R60">
            <v>47</v>
          </cell>
          <cell r="S60">
            <v>16</v>
          </cell>
          <cell r="T60">
            <v>55</v>
          </cell>
          <cell r="U60">
            <v>13</v>
          </cell>
          <cell r="V60">
            <v>31</v>
          </cell>
          <cell r="W60">
            <v>14</v>
          </cell>
          <cell r="X60" t="str">
            <v>03</v>
          </cell>
          <cell r="Y60">
            <v>52</v>
          </cell>
          <cell r="Z60" t="str">
            <v>06</v>
          </cell>
          <cell r="AA60">
            <v>2</v>
          </cell>
          <cell r="AB60">
            <v>42</v>
          </cell>
          <cell r="AC60">
            <v>22</v>
          </cell>
          <cell r="AD60">
            <v>41</v>
          </cell>
          <cell r="AE60">
            <v>4</v>
          </cell>
          <cell r="AF60">
            <v>38</v>
          </cell>
          <cell r="AG60">
            <v>27</v>
          </cell>
          <cell r="AH60">
            <v>26</v>
          </cell>
          <cell r="AI60">
            <v>48</v>
          </cell>
        </row>
        <row r="61">
          <cell r="D61">
            <v>24</v>
          </cell>
          <cell r="E61">
            <v>47</v>
          </cell>
          <cell r="F61">
            <v>53</v>
          </cell>
          <cell r="G61">
            <v>40</v>
          </cell>
          <cell r="H61">
            <v>55</v>
          </cell>
          <cell r="I61">
            <v>49</v>
          </cell>
          <cell r="J61">
            <v>46</v>
          </cell>
          <cell r="K61">
            <v>44</v>
          </cell>
          <cell r="L61">
            <v>50</v>
          </cell>
          <cell r="M61">
            <v>36</v>
          </cell>
          <cell r="N61">
            <v>16</v>
          </cell>
          <cell r="O61">
            <v>57</v>
          </cell>
          <cell r="P61">
            <v>56</v>
          </cell>
          <cell r="Q61">
            <v>26</v>
          </cell>
          <cell r="R61">
            <v>31</v>
          </cell>
          <cell r="S61">
            <v>42</v>
          </cell>
          <cell r="T61">
            <v>28</v>
          </cell>
          <cell r="U61">
            <v>14</v>
          </cell>
          <cell r="V61">
            <v>13</v>
          </cell>
          <cell r="W61">
            <v>35</v>
          </cell>
          <cell r="X61">
            <v>52</v>
          </cell>
          <cell r="Y61">
            <v>15</v>
          </cell>
          <cell r="Z61">
            <v>19</v>
          </cell>
          <cell r="AA61">
            <v>5</v>
          </cell>
          <cell r="AB61" t="str">
            <v>03</v>
          </cell>
          <cell r="AC61">
            <v>18</v>
          </cell>
          <cell r="AD61">
            <v>45</v>
          </cell>
          <cell r="AE61">
            <v>41</v>
          </cell>
          <cell r="AF61">
            <v>38</v>
          </cell>
          <cell r="AG61" t="str">
            <v>04</v>
          </cell>
          <cell r="AH61">
            <v>48</v>
          </cell>
          <cell r="AI61">
            <v>39</v>
          </cell>
        </row>
        <row r="62">
          <cell r="D62">
            <v>24</v>
          </cell>
          <cell r="E62">
            <v>47</v>
          </cell>
          <cell r="F62">
            <v>53</v>
          </cell>
          <cell r="G62" t="str">
            <v>06</v>
          </cell>
          <cell r="H62">
            <v>55</v>
          </cell>
          <cell r="I62">
            <v>49</v>
          </cell>
          <cell r="J62">
            <v>40</v>
          </cell>
          <cell r="K62">
            <v>44</v>
          </cell>
          <cell r="L62">
            <v>50</v>
          </cell>
          <cell r="M62">
            <v>36</v>
          </cell>
          <cell r="N62">
            <v>16</v>
          </cell>
          <cell r="O62">
            <v>57</v>
          </cell>
          <cell r="P62">
            <v>56</v>
          </cell>
          <cell r="Q62">
            <v>26</v>
          </cell>
          <cell r="R62">
            <v>31</v>
          </cell>
          <cell r="S62">
            <v>42</v>
          </cell>
          <cell r="T62">
            <v>28</v>
          </cell>
          <cell r="U62">
            <v>14</v>
          </cell>
          <cell r="V62">
            <v>13</v>
          </cell>
          <cell r="W62">
            <v>35</v>
          </cell>
          <cell r="X62">
            <v>52</v>
          </cell>
          <cell r="Y62">
            <v>15</v>
          </cell>
          <cell r="Z62">
            <v>19</v>
          </cell>
          <cell r="AA62">
            <v>5</v>
          </cell>
          <cell r="AB62" t="str">
            <v>03</v>
          </cell>
          <cell r="AC62">
            <v>18</v>
          </cell>
          <cell r="AD62">
            <v>45</v>
          </cell>
          <cell r="AE62">
            <v>41</v>
          </cell>
          <cell r="AF62">
            <v>38</v>
          </cell>
          <cell r="AG62" t="str">
            <v>04</v>
          </cell>
          <cell r="AH62">
            <v>48</v>
          </cell>
          <cell r="AI62">
            <v>39</v>
          </cell>
        </row>
        <row r="63">
          <cell r="D63" t="str">
            <v xml:space="preserve">ISTIRAHAT </v>
          </cell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</row>
        <row r="64">
          <cell r="D64">
            <v>41</v>
          </cell>
          <cell r="E64">
            <v>35</v>
          </cell>
          <cell r="F64">
            <v>24</v>
          </cell>
          <cell r="G64" t="str">
            <v>06</v>
          </cell>
          <cell r="H64">
            <v>36</v>
          </cell>
          <cell r="I64">
            <v>31</v>
          </cell>
          <cell r="J64">
            <v>40</v>
          </cell>
          <cell r="K64">
            <v>57</v>
          </cell>
          <cell r="L64">
            <v>44</v>
          </cell>
          <cell r="M64">
            <v>49</v>
          </cell>
          <cell r="N64">
            <v>53</v>
          </cell>
          <cell r="O64">
            <v>16</v>
          </cell>
          <cell r="P64">
            <v>12</v>
          </cell>
          <cell r="Q64">
            <v>47</v>
          </cell>
          <cell r="R64">
            <v>50</v>
          </cell>
          <cell r="S64">
            <v>45</v>
          </cell>
          <cell r="T64">
            <v>56</v>
          </cell>
          <cell r="U64">
            <v>39</v>
          </cell>
          <cell r="V64">
            <v>28</v>
          </cell>
          <cell r="W64">
            <v>55</v>
          </cell>
          <cell r="X64">
            <v>5</v>
          </cell>
          <cell r="Y64">
            <v>38</v>
          </cell>
          <cell r="Z64">
            <v>52</v>
          </cell>
          <cell r="AA64">
            <v>19</v>
          </cell>
          <cell r="AB64">
            <v>34</v>
          </cell>
          <cell r="AC64" t="str">
            <v>03</v>
          </cell>
          <cell r="AD64">
            <v>22</v>
          </cell>
          <cell r="AE64">
            <v>27</v>
          </cell>
          <cell r="AF64">
            <v>26</v>
          </cell>
          <cell r="AG64">
            <v>48</v>
          </cell>
          <cell r="AH64">
            <v>46</v>
          </cell>
          <cell r="AI64" t="str">
            <v>08</v>
          </cell>
        </row>
        <row r="65">
          <cell r="D65">
            <v>41</v>
          </cell>
          <cell r="E65">
            <v>35</v>
          </cell>
          <cell r="F65">
            <v>24</v>
          </cell>
          <cell r="G65" t="str">
            <v>06</v>
          </cell>
          <cell r="H65">
            <v>36</v>
          </cell>
          <cell r="I65">
            <v>31</v>
          </cell>
          <cell r="J65">
            <v>40</v>
          </cell>
          <cell r="K65">
            <v>57</v>
          </cell>
          <cell r="L65">
            <v>44</v>
          </cell>
          <cell r="M65">
            <v>49</v>
          </cell>
          <cell r="N65">
            <v>53</v>
          </cell>
          <cell r="O65">
            <v>16</v>
          </cell>
          <cell r="P65">
            <v>12</v>
          </cell>
          <cell r="Q65">
            <v>47</v>
          </cell>
          <cell r="R65">
            <v>50</v>
          </cell>
          <cell r="S65">
            <v>45</v>
          </cell>
          <cell r="T65">
            <v>56</v>
          </cell>
          <cell r="U65">
            <v>39</v>
          </cell>
          <cell r="V65">
            <v>28</v>
          </cell>
          <cell r="W65">
            <v>55</v>
          </cell>
          <cell r="X65">
            <v>5</v>
          </cell>
          <cell r="Y65">
            <v>38</v>
          </cell>
          <cell r="Z65">
            <v>52</v>
          </cell>
          <cell r="AA65">
            <v>19</v>
          </cell>
          <cell r="AB65">
            <v>34</v>
          </cell>
          <cell r="AC65" t="str">
            <v>03</v>
          </cell>
          <cell r="AD65">
            <v>22</v>
          </cell>
          <cell r="AE65">
            <v>27</v>
          </cell>
          <cell r="AF65">
            <v>26</v>
          </cell>
          <cell r="AG65">
            <v>48</v>
          </cell>
          <cell r="AH65">
            <v>46</v>
          </cell>
          <cell r="AI65" t="str">
            <v>08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A521-06A5-4CFB-9B3B-1EF0434781ED}">
  <sheetPr>
    <pageSetUpPr fitToPage="1"/>
  </sheetPr>
  <dimension ref="A1:AH166"/>
  <sheetViews>
    <sheetView tabSelected="1" topLeftCell="A68" zoomScaleNormal="100" zoomScaleSheetLayoutView="100" workbookViewId="0">
      <selection activeCell="Q5" sqref="Q5"/>
    </sheetView>
  </sheetViews>
  <sheetFormatPr defaultRowHeight="12.75" x14ac:dyDescent="0.2"/>
  <cols>
    <col min="1" max="1" width="5.1640625" style="1" customWidth="1"/>
    <col min="2" max="2" width="19" style="2" customWidth="1"/>
    <col min="3" max="3" width="4.83203125" style="3" customWidth="1"/>
    <col min="4" max="33" width="6.83203125" style="2" customWidth="1"/>
    <col min="34" max="34" width="2.1640625" style="2" customWidth="1"/>
    <col min="35" max="16384" width="9.33203125" style="2"/>
  </cols>
  <sheetData>
    <row r="1" spans="1:34" ht="13.5" thickBot="1" x14ac:dyDescent="0.25"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</row>
    <row r="2" spans="1:34" ht="15" customHeight="1" thickBot="1" x14ac:dyDescent="0.25">
      <c r="A2" s="4" t="s">
        <v>0</v>
      </c>
      <c r="B2" s="5" t="s">
        <v>1</v>
      </c>
      <c r="C2" s="6"/>
      <c r="D2" s="7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10"/>
    </row>
    <row r="3" spans="1:34" ht="19.5" customHeight="1" thickBot="1" x14ac:dyDescent="0.25">
      <c r="A3" s="12"/>
      <c r="B3" s="13"/>
      <c r="C3" s="14" t="s">
        <v>3</v>
      </c>
      <c r="D3" s="15" t="s">
        <v>4</v>
      </c>
      <c r="E3" s="16"/>
      <c r="F3" s="16"/>
      <c r="G3" s="16"/>
      <c r="H3" s="16"/>
      <c r="I3" s="16"/>
      <c r="J3" s="16"/>
      <c r="K3" s="16"/>
      <c r="L3" s="16"/>
      <c r="M3" s="17"/>
      <c r="N3" s="18" t="s">
        <v>5</v>
      </c>
      <c r="O3" s="19"/>
      <c r="P3" s="19"/>
      <c r="Q3" s="19"/>
      <c r="R3" s="19"/>
      <c r="S3" s="19"/>
      <c r="T3" s="19"/>
      <c r="U3" s="19"/>
      <c r="V3" s="19"/>
      <c r="W3" s="20"/>
      <c r="X3" s="21" t="s">
        <v>6</v>
      </c>
      <c r="Y3" s="22"/>
      <c r="Z3" s="22"/>
      <c r="AA3" s="22"/>
      <c r="AB3" s="22"/>
      <c r="AC3" s="22"/>
      <c r="AD3" s="22"/>
      <c r="AE3" s="22"/>
      <c r="AF3" s="22"/>
      <c r="AG3" s="23"/>
      <c r="AH3" s="24"/>
    </row>
    <row r="4" spans="1:34" ht="17.100000000000001" customHeight="1" thickBot="1" x14ac:dyDescent="0.25">
      <c r="A4" s="12"/>
      <c r="B4" s="13"/>
      <c r="C4" s="14"/>
      <c r="D4" s="26"/>
      <c r="E4" s="27"/>
      <c r="F4" s="27"/>
      <c r="G4" s="27"/>
      <c r="H4" s="27"/>
      <c r="I4" s="27"/>
      <c r="J4" s="27"/>
      <c r="K4" s="27"/>
      <c r="L4" s="27"/>
      <c r="M4" s="28"/>
      <c r="N4" s="29" t="s">
        <v>7</v>
      </c>
      <c r="O4" s="30"/>
      <c r="P4" s="30"/>
      <c r="Q4" s="30"/>
      <c r="R4" s="31"/>
      <c r="S4" s="32" t="s">
        <v>8</v>
      </c>
      <c r="T4" s="33"/>
      <c r="U4" s="33"/>
      <c r="V4" s="33"/>
      <c r="W4" s="34"/>
      <c r="X4" s="35" t="s">
        <v>7</v>
      </c>
      <c r="Y4" s="36"/>
      <c r="Z4" s="37"/>
      <c r="AA4" s="38" t="s">
        <v>8</v>
      </c>
      <c r="AB4" s="39"/>
      <c r="AC4" s="40"/>
      <c r="AD4" s="41" t="s">
        <v>9</v>
      </c>
      <c r="AE4" s="42"/>
      <c r="AF4" s="42"/>
      <c r="AG4" s="43"/>
      <c r="AH4" s="44"/>
    </row>
    <row r="5" spans="1:34" ht="18.95" customHeight="1" thickBot="1" x14ac:dyDescent="0.25">
      <c r="A5" s="45"/>
      <c r="B5" s="46"/>
      <c r="C5" s="47"/>
      <c r="D5" s="48" t="s">
        <v>7</v>
      </c>
      <c r="E5" s="49" t="s">
        <v>8</v>
      </c>
      <c r="F5" s="49" t="s">
        <v>9</v>
      </c>
      <c r="G5" s="49" t="s">
        <v>10</v>
      </c>
      <c r="H5" s="49" t="s">
        <v>11</v>
      </c>
      <c r="I5" s="49" t="s">
        <v>12</v>
      </c>
      <c r="J5" s="49" t="s">
        <v>13</v>
      </c>
      <c r="K5" s="49" t="s">
        <v>14</v>
      </c>
      <c r="L5" s="49" t="s">
        <v>15</v>
      </c>
      <c r="M5" s="50" t="s">
        <v>16</v>
      </c>
      <c r="N5" s="51" t="s">
        <v>17</v>
      </c>
      <c r="O5" s="52" t="s">
        <v>18</v>
      </c>
      <c r="P5" s="52" t="s">
        <v>19</v>
      </c>
      <c r="Q5" s="52" t="s">
        <v>20</v>
      </c>
      <c r="R5" s="53" t="s">
        <v>21</v>
      </c>
      <c r="S5" s="54" t="s">
        <v>22</v>
      </c>
      <c r="T5" s="55" t="s">
        <v>23</v>
      </c>
      <c r="U5" s="55" t="s">
        <v>24</v>
      </c>
      <c r="V5" s="55" t="s">
        <v>25</v>
      </c>
      <c r="W5" s="56" t="s">
        <v>26</v>
      </c>
      <c r="X5" s="57" t="s">
        <v>17</v>
      </c>
      <c r="Y5" s="58" t="s">
        <v>18</v>
      </c>
      <c r="Z5" s="59" t="s">
        <v>19</v>
      </c>
      <c r="AA5" s="60" t="s">
        <v>17</v>
      </c>
      <c r="AB5" s="61" t="s">
        <v>18</v>
      </c>
      <c r="AC5" s="62" t="s">
        <v>19</v>
      </c>
      <c r="AD5" s="63" t="s">
        <v>17</v>
      </c>
      <c r="AE5" s="64" t="s">
        <v>18</v>
      </c>
      <c r="AF5" s="64" t="s">
        <v>19</v>
      </c>
      <c r="AG5" s="65" t="s">
        <v>20</v>
      </c>
      <c r="AH5" s="66"/>
    </row>
    <row r="6" spans="1:34" ht="17.25" customHeight="1" thickBot="1" x14ac:dyDescent="0.25">
      <c r="A6" s="4" t="s">
        <v>28</v>
      </c>
      <c r="B6" s="67" t="s">
        <v>29</v>
      </c>
      <c r="C6" s="68">
        <v>1</v>
      </c>
      <c r="D6" s="69" t="s">
        <v>30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1"/>
      <c r="AH6" s="72"/>
    </row>
    <row r="7" spans="1:34" s="73" customFormat="1" ht="20.100000000000001" customHeight="1" x14ac:dyDescent="0.2">
      <c r="A7" s="12"/>
      <c r="B7" s="74" t="s">
        <v>32</v>
      </c>
      <c r="C7" s="75">
        <v>2</v>
      </c>
      <c r="D7" s="76" t="str">
        <f>'[1]Teacher Subject VERT'!G7</f>
        <v xml:space="preserve">53 MTK </v>
      </c>
      <c r="E7" s="77" t="str">
        <f>'[1]Teacher Subject VERT'!H7</f>
        <v>52 ENG</v>
      </c>
      <c r="F7" s="77" t="str">
        <f>'[1]Teacher Subject VERT'!I7</f>
        <v>3 B.IND</v>
      </c>
      <c r="G7" s="77" t="str">
        <f>'[1]Teacher Subject VERT'!J7</f>
        <v>40 ENG</v>
      </c>
      <c r="H7" s="77" t="str">
        <f>'[1]Teacher Subject VERT'!K7</f>
        <v>49 KIM</v>
      </c>
      <c r="I7" s="77" t="str">
        <f>'[1]Teacher Subject VERT'!L7</f>
        <v>39 PJOK</v>
      </c>
      <c r="J7" s="77" t="str">
        <f>'[1]Teacher Subject VERT'!M7</f>
        <v>33 EKO</v>
      </c>
      <c r="K7" s="77" t="str">
        <f>'[1]Teacher Subject VERT'!N7</f>
        <v>32 BTQ</v>
      </c>
      <c r="L7" s="77" t="str">
        <f>'[1]Teacher Subject VERT'!O7</f>
        <v>11 SOS</v>
      </c>
      <c r="M7" s="78" t="str">
        <f>'[1]Teacher Subject VERT'!P7</f>
        <v>28 PKn</v>
      </c>
      <c r="N7" s="79" t="str">
        <f>'[1]Teacher Subject VERT'!Q7</f>
        <v>38 PKWU</v>
      </c>
      <c r="O7" s="80" t="str">
        <f>'[1]Teacher Subject VERT'!R7</f>
        <v>9 B.IND</v>
      </c>
      <c r="P7" s="80" t="str">
        <f>'[1]Teacher Subject VERT'!S7</f>
        <v xml:space="preserve">22 MTK </v>
      </c>
      <c r="Q7" s="80" t="str">
        <f>'[1]Teacher Subject VERT'!T7</f>
        <v xml:space="preserve">55 MTK </v>
      </c>
      <c r="R7" s="81" t="str">
        <f>'[1]Teacher Subject VERT'!U7</f>
        <v>42 PJOK</v>
      </c>
      <c r="S7" s="82" t="str">
        <f>'[1]Teacher Subject VERT'!V7</f>
        <v>37 SEJ</v>
      </c>
      <c r="T7" s="83" t="str">
        <f>'[1]Teacher Subject VERT'!W7</f>
        <v>34 SOS</v>
      </c>
      <c r="U7" s="83" t="str">
        <f>'[1]Teacher Subject VERT'!X7</f>
        <v>41 PAI</v>
      </c>
      <c r="V7" s="83" t="str">
        <f>'[1]Teacher Subject VERT'!Y7</f>
        <v>29 BIO</v>
      </c>
      <c r="W7" s="84" t="str">
        <f>'[1]Teacher Subject VERT'!Z7</f>
        <v>54 EKO</v>
      </c>
      <c r="X7" s="85" t="str">
        <f>'[1]Teacher Subject VERT'!AA7</f>
        <v>16 KIM</v>
      </c>
      <c r="Y7" s="86" t="str">
        <f>'[1]Teacher Subject VERT'!AB7</f>
        <v>43 MTL</v>
      </c>
      <c r="Z7" s="87" t="str">
        <f>'[1]Teacher Subject VERT'!AC7</f>
        <v>26 PJOK</v>
      </c>
      <c r="AA7" s="88" t="str">
        <f>'[1]Teacher Subject VERT'!AD7</f>
        <v>13 SEJ</v>
      </c>
      <c r="AB7" s="89" t="str">
        <f>'[1]Teacher Subject VERT'!AE7</f>
        <v>17 PKn</v>
      </c>
      <c r="AC7" s="90" t="str">
        <f>'[1]Teacher Subject VERT'!AF7</f>
        <v>56 BIO</v>
      </c>
      <c r="AD7" s="91" t="str">
        <f>'[1]Teacher Subject VERT'!AG7</f>
        <v xml:space="preserve">20 MTK </v>
      </c>
      <c r="AE7" s="92" t="str">
        <f>'[1]Teacher Subject VERT'!AH7</f>
        <v>15 BIO</v>
      </c>
      <c r="AF7" s="92" t="str">
        <f>'[1]Teacher Subject VERT'!AI7</f>
        <v>36 ENG</v>
      </c>
      <c r="AG7" s="93" t="str">
        <f>'[1]Teacher Subject VERT'!AJ7</f>
        <v>51 B.IND</v>
      </c>
      <c r="AH7" s="94"/>
    </row>
    <row r="8" spans="1:34" s="73" customFormat="1" ht="20.100000000000001" customHeight="1" x14ac:dyDescent="0.2">
      <c r="A8" s="12"/>
      <c r="B8" s="95" t="s">
        <v>34</v>
      </c>
      <c r="C8" s="96">
        <v>3</v>
      </c>
      <c r="D8" s="97" t="str">
        <f>'[1]Teacher Subject VERT'!G8</f>
        <v xml:space="preserve">53 MTK </v>
      </c>
      <c r="E8" s="98" t="str">
        <f>'[1]Teacher Subject VERT'!H8</f>
        <v>52 ENG</v>
      </c>
      <c r="F8" s="98" t="str">
        <f>'[1]Teacher Subject VERT'!I8</f>
        <v>3 B.IND</v>
      </c>
      <c r="G8" s="98" t="str">
        <f>'[1]Teacher Subject VERT'!J8</f>
        <v>40 ENG</v>
      </c>
      <c r="H8" s="98" t="str">
        <f>'[1]Teacher Subject VERT'!K8</f>
        <v>49 KIM</v>
      </c>
      <c r="I8" s="98" t="str">
        <f>'[1]Teacher Subject VERT'!L8</f>
        <v>39 PJOK</v>
      </c>
      <c r="J8" s="98" t="str">
        <f>'[1]Teacher Subject VERT'!M8</f>
        <v>33 EKO</v>
      </c>
      <c r="K8" s="98" t="str">
        <f>'[1]Teacher Subject VERT'!N8</f>
        <v>32 BTQ</v>
      </c>
      <c r="L8" s="98" t="str">
        <f>'[1]Teacher Subject VERT'!O8</f>
        <v>11 SOS</v>
      </c>
      <c r="M8" s="99" t="str">
        <f>'[1]Teacher Subject VERT'!P8</f>
        <v>28 PKn</v>
      </c>
      <c r="N8" s="100" t="str">
        <f>'[1]Teacher Subject VERT'!Q8</f>
        <v>38 PKWU</v>
      </c>
      <c r="O8" s="101" t="str">
        <f>'[1]Teacher Subject VERT'!R8</f>
        <v>9 B.IND</v>
      </c>
      <c r="P8" s="101" t="str">
        <f>'[1]Teacher Subject VERT'!S8</f>
        <v xml:space="preserve">22 MTK </v>
      </c>
      <c r="Q8" s="101" t="str">
        <f>'[1]Teacher Subject VERT'!T8</f>
        <v xml:space="preserve">55 MTK </v>
      </c>
      <c r="R8" s="102" t="str">
        <f>'[1]Teacher Subject VERT'!U8</f>
        <v>42 PJOK</v>
      </c>
      <c r="S8" s="103" t="str">
        <f>'[1]Teacher Subject VERT'!V8</f>
        <v>37 SEJ</v>
      </c>
      <c r="T8" s="104" t="str">
        <f>'[1]Teacher Subject VERT'!W8</f>
        <v>34 SOS</v>
      </c>
      <c r="U8" s="104" t="str">
        <f>'[1]Teacher Subject VERT'!X8</f>
        <v>41 PAI</v>
      </c>
      <c r="V8" s="104" t="str">
        <f>'[1]Teacher Subject VERT'!Y8</f>
        <v>29 BIO</v>
      </c>
      <c r="W8" s="105" t="str">
        <f>'[1]Teacher Subject VERT'!Z8</f>
        <v>54 EKO</v>
      </c>
      <c r="X8" s="106" t="str">
        <f>'[1]Teacher Subject VERT'!AA8</f>
        <v>16 KIM</v>
      </c>
      <c r="Y8" s="107" t="str">
        <f>'[1]Teacher Subject VERT'!AB8</f>
        <v>43 MTL</v>
      </c>
      <c r="Z8" s="108" t="str">
        <f>'[1]Teacher Subject VERT'!AC8</f>
        <v>26 PJOK</v>
      </c>
      <c r="AA8" s="109" t="str">
        <f>'[1]Teacher Subject VERT'!AD8</f>
        <v>13 SEJ</v>
      </c>
      <c r="AB8" s="110" t="str">
        <f>'[1]Teacher Subject VERT'!AE8</f>
        <v>17 PKn</v>
      </c>
      <c r="AC8" s="111" t="str">
        <f>'[1]Teacher Subject VERT'!AF8</f>
        <v>56 BIO</v>
      </c>
      <c r="AD8" s="112" t="str">
        <f>'[1]Teacher Subject VERT'!AG8</f>
        <v xml:space="preserve">20 MTK </v>
      </c>
      <c r="AE8" s="113" t="str">
        <f>'[1]Teacher Subject VERT'!AH8</f>
        <v>15 BIO</v>
      </c>
      <c r="AF8" s="113" t="str">
        <f>'[1]Teacher Subject VERT'!AI8</f>
        <v>36 ENG</v>
      </c>
      <c r="AG8" s="114" t="str">
        <f>'[1]Teacher Subject VERT'!AJ8</f>
        <v>51 B.IND</v>
      </c>
      <c r="AH8" s="94"/>
    </row>
    <row r="9" spans="1:34" s="73" customFormat="1" ht="20.100000000000001" customHeight="1" thickBot="1" x14ac:dyDescent="0.25">
      <c r="A9" s="12"/>
      <c r="B9" s="95" t="s">
        <v>36</v>
      </c>
      <c r="C9" s="96">
        <v>4</v>
      </c>
      <c r="D9" s="115" t="str">
        <f>'[1]Teacher Subject VERT'!G9</f>
        <v xml:space="preserve">53 MTK </v>
      </c>
      <c r="E9" s="116" t="str">
        <f>'[1]Teacher Subject VERT'!H9</f>
        <v>52 ENG</v>
      </c>
      <c r="F9" s="116" t="str">
        <f>'[1]Teacher Subject VERT'!I9</f>
        <v>30 KIM</v>
      </c>
      <c r="G9" s="116" t="str">
        <f>'[1]Teacher Subject VERT'!J9</f>
        <v>40 ENG</v>
      </c>
      <c r="H9" s="116" t="str">
        <f>'[1]Teacher Subject VERT'!K9</f>
        <v>49 KIM</v>
      </c>
      <c r="I9" s="116" t="str">
        <f>'[1]Teacher Subject VERT'!L9</f>
        <v>39 PJOK</v>
      </c>
      <c r="J9" s="116" t="str">
        <f>'[1]Teacher Subject VERT'!M9</f>
        <v>33 EKO</v>
      </c>
      <c r="K9" s="116" t="str">
        <f>'[1]Teacher Subject VERT'!N9</f>
        <v>24 GEO</v>
      </c>
      <c r="L9" s="116" t="str">
        <f>'[1]Teacher Subject VERT'!O9</f>
        <v>34 GEO</v>
      </c>
      <c r="M9" s="117" t="str">
        <f>'[1]Teacher Subject VERT'!P9</f>
        <v>2 FSK</v>
      </c>
      <c r="N9" s="118" t="str">
        <f>'[1]Teacher Subject VERT'!Q9</f>
        <v xml:space="preserve">22 MTK </v>
      </c>
      <c r="O9" s="119" t="str">
        <f>'[1]Teacher Subject VERT'!R9</f>
        <v>10 PAI</v>
      </c>
      <c r="P9" s="119" t="str">
        <f>'[1]Teacher Subject VERT'!S9</f>
        <v>9 B.IND</v>
      </c>
      <c r="Q9" s="119" t="str">
        <f>'[1]Teacher Subject VERT'!T9</f>
        <v>50 PJOK</v>
      </c>
      <c r="R9" s="120" t="str">
        <f>'[1]Teacher Subject VERT'!U9</f>
        <v>42 PJOK</v>
      </c>
      <c r="S9" s="121" t="str">
        <f>'[1]Teacher Subject VERT'!V9</f>
        <v>12 EKO</v>
      </c>
      <c r="T9" s="122" t="str">
        <f>'[1]Teacher Subject VERT'!W9</f>
        <v>48 INF</v>
      </c>
      <c r="U9" s="122" t="str">
        <f>'[1]Teacher Subject VERT'!X9</f>
        <v>41 PAI</v>
      </c>
      <c r="V9" s="122" t="str">
        <f>'[1]Teacher Subject VERT'!Y9</f>
        <v>29 BIO</v>
      </c>
      <c r="W9" s="123" t="str">
        <f>'[1]Teacher Subject VERT'!Z9</f>
        <v>11 SOS</v>
      </c>
      <c r="X9" s="124" t="str">
        <f>'[1]Teacher Subject VERT'!AA9</f>
        <v>7 PAI</v>
      </c>
      <c r="Y9" s="125" t="str">
        <f>'[1]Teacher Subject VERT'!AB9</f>
        <v>43 MTL</v>
      </c>
      <c r="Z9" s="126" t="str">
        <f>'[1]Teacher Subject VERT'!AC9</f>
        <v>26 PJOK</v>
      </c>
      <c r="AA9" s="127" t="str">
        <f>'[1]Teacher Subject VERT'!AD9</f>
        <v>16 KIM</v>
      </c>
      <c r="AB9" s="128" t="str">
        <f>'[1]Teacher Subject VERT'!AE9</f>
        <v>55 MTL</v>
      </c>
      <c r="AC9" s="129" t="str">
        <f>'[1]Teacher Subject VERT'!AF9</f>
        <v>56 BIO</v>
      </c>
      <c r="AD9" s="130" t="str">
        <f>'[1]Teacher Subject VERT'!AG9</f>
        <v xml:space="preserve">20 MTK </v>
      </c>
      <c r="AE9" s="131" t="str">
        <f>'[1]Teacher Subject VERT'!AH9</f>
        <v>25 INF</v>
      </c>
      <c r="AF9" s="131" t="str">
        <f>'[1]Teacher Subject VERT'!AI9</f>
        <v>54 EKO</v>
      </c>
      <c r="AG9" s="132" t="str">
        <f>'[1]Teacher Subject VERT'!AJ9</f>
        <v>51 B.IND</v>
      </c>
      <c r="AH9" s="94"/>
    </row>
    <row r="10" spans="1:34" s="133" customFormat="1" ht="20.100000000000001" customHeight="1" thickBot="1" x14ac:dyDescent="0.25">
      <c r="A10" s="12"/>
      <c r="B10" s="95" t="s">
        <v>38</v>
      </c>
      <c r="C10" s="134" t="s">
        <v>39</v>
      </c>
      <c r="D10" s="135" t="s">
        <v>40</v>
      </c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7"/>
      <c r="AH10" s="72"/>
    </row>
    <row r="11" spans="1:34" s="133" customFormat="1" ht="20.100000000000001" customHeight="1" x14ac:dyDescent="0.2">
      <c r="A11" s="12"/>
      <c r="B11" s="95" t="s">
        <v>42</v>
      </c>
      <c r="C11" s="138">
        <v>5</v>
      </c>
      <c r="D11" s="139" t="str">
        <f>'[1]Teacher Subject VERT'!G10</f>
        <v>17 PKn</v>
      </c>
      <c r="E11" s="77" t="str">
        <f>'[1]Teacher Subject VERT'!H10</f>
        <v>42 PJOK</v>
      </c>
      <c r="F11" s="77" t="str">
        <f>'[1]Teacher Subject VERT'!I10</f>
        <v>30 KIM</v>
      </c>
      <c r="G11" s="77" t="str">
        <f>'[1]Teacher Subject VERT'!J10</f>
        <v xml:space="preserve">53 MTK </v>
      </c>
      <c r="H11" s="77" t="str">
        <f>'[1]Teacher Subject VERT'!K10</f>
        <v>39 PJOK</v>
      </c>
      <c r="I11" s="77" t="str">
        <f>'[1]Teacher Subject VERT'!L10</f>
        <v>3 B.IND</v>
      </c>
      <c r="J11" s="77" t="str">
        <f>'[1]Teacher Subject VERT'!M10</f>
        <v>14 FSK</v>
      </c>
      <c r="K11" s="77" t="str">
        <f>'[1]Teacher Subject VERT'!N10</f>
        <v>24 GEO</v>
      </c>
      <c r="L11" s="77" t="str">
        <f>'[1]Teacher Subject VERT'!O10</f>
        <v>34 GEO</v>
      </c>
      <c r="M11" s="78" t="str">
        <f>'[1]Teacher Subject VERT'!P10</f>
        <v>2 FSK</v>
      </c>
      <c r="N11" s="79" t="str">
        <f>'[1]Teacher Subject VERT'!Q10</f>
        <v xml:space="preserve">22 MTK </v>
      </c>
      <c r="O11" s="80" t="str">
        <f>'[1]Teacher Subject VERT'!R10</f>
        <v>10 PAI</v>
      </c>
      <c r="P11" s="80" t="str">
        <f>'[1]Teacher Subject VERT'!S10</f>
        <v>9 B.IND</v>
      </c>
      <c r="Q11" s="80" t="str">
        <f>'[1]Teacher Subject VERT'!T10</f>
        <v>50 PJOK</v>
      </c>
      <c r="R11" s="81" t="str">
        <f>'[1]Teacher Subject VERT'!U10</f>
        <v>32 PI</v>
      </c>
      <c r="S11" s="82" t="str">
        <f>'[1]Teacher Subject VERT'!V10</f>
        <v>12 EKO</v>
      </c>
      <c r="T11" s="83" t="str">
        <f>'[1]Teacher Subject VERT'!W10</f>
        <v>48 INF</v>
      </c>
      <c r="U11" s="83" t="str">
        <f>'[1]Teacher Subject VERT'!X10</f>
        <v>13 SEJ</v>
      </c>
      <c r="V11" s="83" t="str">
        <f>'[1]Teacher Subject VERT'!Y10</f>
        <v>33 EKO</v>
      </c>
      <c r="W11" s="84" t="str">
        <f>'[1]Teacher Subject VERT'!Z10</f>
        <v>11 SOS</v>
      </c>
      <c r="X11" s="85" t="str">
        <f>'[1]Teacher Subject VERT'!AA10</f>
        <v>7 PAI</v>
      </c>
      <c r="Y11" s="86" t="str">
        <f>'[1]Teacher Subject VERT'!AB10</f>
        <v>26 PJOK</v>
      </c>
      <c r="Z11" s="87" t="str">
        <f>'[1]Teacher Subject VERT'!AC10</f>
        <v>21 B.IND</v>
      </c>
      <c r="AA11" s="88" t="str">
        <f>'[1]Teacher Subject VERT'!AD10</f>
        <v>16 KIM</v>
      </c>
      <c r="AB11" s="89" t="str">
        <f>'[1]Teacher Subject VERT'!AE10</f>
        <v>55 MTL</v>
      </c>
      <c r="AC11" s="90" t="str">
        <f>'[1]Teacher Subject VERT'!AF10</f>
        <v xml:space="preserve">20 MTK </v>
      </c>
      <c r="AD11" s="140" t="str">
        <f>'[1]Teacher Subject VERT'!AG10</f>
        <v>6 SOS</v>
      </c>
      <c r="AE11" s="92" t="str">
        <f>'[1]Teacher Subject VERT'!AH10</f>
        <v>25 INF</v>
      </c>
      <c r="AF11" s="92" t="str">
        <f>'[1]Teacher Subject VERT'!AI10</f>
        <v>54 EKO</v>
      </c>
      <c r="AG11" s="93" t="str">
        <f>'[1]Teacher Subject VERT'!AJ10</f>
        <v>49 GEO</v>
      </c>
      <c r="AH11" s="141"/>
    </row>
    <row r="12" spans="1:34" s="133" customFormat="1" ht="20.100000000000001" customHeight="1" thickBot="1" x14ac:dyDescent="0.25">
      <c r="A12" s="12"/>
      <c r="B12" s="95" t="s">
        <v>44</v>
      </c>
      <c r="C12" s="138">
        <v>6</v>
      </c>
      <c r="D12" s="115" t="str">
        <f>'[1]Teacher Subject VERT'!G11</f>
        <v>17 PKn</v>
      </c>
      <c r="E12" s="116" t="str">
        <f>'[1]Teacher Subject VERT'!H11</f>
        <v>42 PJOK</v>
      </c>
      <c r="F12" s="116" t="str">
        <f>'[1]Teacher Subject VERT'!I11</f>
        <v>30 KIM</v>
      </c>
      <c r="G12" s="116" t="str">
        <f>'[1]Teacher Subject VERT'!J11</f>
        <v xml:space="preserve">53 MTK </v>
      </c>
      <c r="H12" s="116" t="str">
        <f>'[1]Teacher Subject VERT'!K11</f>
        <v>39 PJOK</v>
      </c>
      <c r="I12" s="116" t="str">
        <f>'[1]Teacher Subject VERT'!L11</f>
        <v>3 B.IND</v>
      </c>
      <c r="J12" s="116" t="str">
        <f>'[1]Teacher Subject VERT'!M11</f>
        <v>14 FSK</v>
      </c>
      <c r="K12" s="116" t="str">
        <f>'[1]Teacher Subject VERT'!N11</f>
        <v>51 B.IND</v>
      </c>
      <c r="L12" s="116" t="str">
        <f>'[1]Teacher Subject VERT'!O11</f>
        <v>2 FSK</v>
      </c>
      <c r="M12" s="117" t="str">
        <f>'[1]Teacher Subject VERT'!P11</f>
        <v xml:space="preserve">55 MTK </v>
      </c>
      <c r="N12" s="118" t="str">
        <f>'[1]Teacher Subject VERT'!Q11</f>
        <v>15 BIO</v>
      </c>
      <c r="O12" s="119" t="str">
        <f>'[1]Teacher Subject VERT'!R11</f>
        <v>10 PAI</v>
      </c>
      <c r="P12" s="119" t="str">
        <f>'[1]Teacher Subject VERT'!S11</f>
        <v>56 BIO</v>
      </c>
      <c r="Q12" s="119" t="str">
        <f>'[1]Teacher Subject VERT'!T11</f>
        <v>50 PJOK</v>
      </c>
      <c r="R12" s="120" t="str">
        <f>'[1]Teacher Subject VERT'!U11</f>
        <v>32 PI</v>
      </c>
      <c r="S12" s="121" t="str">
        <f>'[1]Teacher Subject VERT'!V11</f>
        <v>29 BIO</v>
      </c>
      <c r="T12" s="122" t="str">
        <f>'[1]Teacher Subject VERT'!W11</f>
        <v>12 EKO</v>
      </c>
      <c r="U12" s="122" t="str">
        <f>'[1]Teacher Subject VERT'!X11</f>
        <v>13 SEJ</v>
      </c>
      <c r="V12" s="122" t="str">
        <f>'[1]Teacher Subject VERT'!Y11</f>
        <v>33 EKO</v>
      </c>
      <c r="W12" s="123" t="str">
        <f>'[1]Teacher Subject VERT'!Z11</f>
        <v>48 INF</v>
      </c>
      <c r="X12" s="124" t="str">
        <f>'[1]Teacher Subject VERT'!AA11</f>
        <v>7 PAI</v>
      </c>
      <c r="Y12" s="125" t="str">
        <f>'[1]Teacher Subject VERT'!AB11</f>
        <v>26 PJOK</v>
      </c>
      <c r="Z12" s="126" t="str">
        <f>'[1]Teacher Subject VERT'!AC11</f>
        <v>21 B.IND</v>
      </c>
      <c r="AA12" s="142" t="str">
        <f>'[1]Teacher Subject VERT'!AD11</f>
        <v>25 INF</v>
      </c>
      <c r="AB12" s="128" t="str">
        <f>'[1]Teacher Subject VERT'!AE11</f>
        <v>16 KIM</v>
      </c>
      <c r="AC12" s="129" t="str">
        <f>'[1]Teacher Subject VERT'!AF11</f>
        <v xml:space="preserve">20 MTK </v>
      </c>
      <c r="AD12" s="143" t="str">
        <f>'[1]Teacher Subject VERT'!AG11</f>
        <v>6 SOS</v>
      </c>
      <c r="AE12" s="131" t="str">
        <f>'[1]Teacher Subject VERT'!AH11</f>
        <v>36 ENG</v>
      </c>
      <c r="AF12" s="131" t="str">
        <f>'[1]Teacher Subject VERT'!AI11</f>
        <v xml:space="preserve">22 MTK </v>
      </c>
      <c r="AG12" s="132" t="str">
        <f>'[1]Teacher Subject VERT'!AJ11</f>
        <v>49 GEO</v>
      </c>
      <c r="AH12" s="141"/>
    </row>
    <row r="13" spans="1:34" s="133" customFormat="1" ht="20.100000000000001" customHeight="1" thickBot="1" x14ac:dyDescent="0.25">
      <c r="A13" s="12"/>
      <c r="B13" s="95" t="s">
        <v>46</v>
      </c>
      <c r="C13" s="134" t="s">
        <v>47</v>
      </c>
      <c r="D13" s="135" t="s">
        <v>48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7"/>
      <c r="AH13" s="72"/>
    </row>
    <row r="14" spans="1:34" s="133" customFormat="1" ht="20.100000000000001" customHeight="1" x14ac:dyDescent="0.2">
      <c r="A14" s="12"/>
      <c r="B14" s="95" t="s">
        <v>50</v>
      </c>
      <c r="C14" s="144">
        <v>7</v>
      </c>
      <c r="D14" s="76" t="str">
        <f>'[1]Teacher Subject VERT'!G12</f>
        <v>28 SEJ</v>
      </c>
      <c r="E14" s="77" t="str">
        <f>'[1]Teacher Subject VERT'!H12</f>
        <v>42 PJOK</v>
      </c>
      <c r="F14" s="77" t="str">
        <f>'[1]Teacher Subject VERT'!I12</f>
        <v>50 PKWU</v>
      </c>
      <c r="G14" s="77" t="str">
        <f>'[1]Teacher Subject VERT'!J12</f>
        <v xml:space="preserve">53 MTK </v>
      </c>
      <c r="H14" s="77" t="str">
        <f>'[1]Teacher Subject VERT'!K12</f>
        <v>39 PJOK</v>
      </c>
      <c r="I14" s="77" t="str">
        <f>'[1]Teacher Subject VERT'!L12</f>
        <v>32 BTQ</v>
      </c>
      <c r="J14" s="77" t="str">
        <f>'[1]Teacher Subject VERT'!M12</f>
        <v>24 GEO</v>
      </c>
      <c r="K14" s="77" t="str">
        <f>'[1]Teacher Subject VERT'!N12</f>
        <v>51 B.IND</v>
      </c>
      <c r="L14" s="77" t="str">
        <f>'[1]Teacher Subject VERT'!O12</f>
        <v>2 FSK</v>
      </c>
      <c r="M14" s="78" t="str">
        <f>'[1]Teacher Subject VERT'!P12</f>
        <v xml:space="preserve">55 MTK </v>
      </c>
      <c r="N14" s="79" t="str">
        <f>'[1]Teacher Subject VERT'!Q12</f>
        <v>15 BIO</v>
      </c>
      <c r="O14" s="80" t="str">
        <f>'[1]Teacher Subject VERT'!R12</f>
        <v>14 FSK</v>
      </c>
      <c r="P14" s="80" t="str">
        <f>'[1]Teacher Subject VERT'!S12</f>
        <v>56 BIO</v>
      </c>
      <c r="Q14" s="80" t="str">
        <f>'[1]Teacher Subject VERT'!T12</f>
        <v>9 B.IND</v>
      </c>
      <c r="R14" s="81" t="str">
        <f>'[1]Teacher Subject VERT'!U12</f>
        <v>37 SEJ</v>
      </c>
      <c r="S14" s="82" t="str">
        <f>'[1]Teacher Subject VERT'!V12</f>
        <v>29 BIO</v>
      </c>
      <c r="T14" s="83" t="str">
        <f>'[1]Teacher Subject VERT'!W12</f>
        <v>12 EKO</v>
      </c>
      <c r="U14" s="83" t="str">
        <f>'[1]Teacher Subject VERT'!X12</f>
        <v>11 SOS</v>
      </c>
      <c r="V14" s="83" t="str">
        <f>'[1]Teacher Subject VERT'!Y12</f>
        <v>38 PKWU</v>
      </c>
      <c r="W14" s="84" t="str">
        <f>'[1]Teacher Subject VERT'!Z12</f>
        <v>48 INF</v>
      </c>
      <c r="X14" s="85" t="str">
        <f>'[1]Teacher Subject VERT'!AA12</f>
        <v>17 PKn</v>
      </c>
      <c r="Y14" s="86" t="str">
        <f>'[1]Teacher Subject VERT'!AB12</f>
        <v>26 PJOK</v>
      </c>
      <c r="Z14" s="145" t="str">
        <f>'[1]Teacher Subject VERT'!AC12</f>
        <v>21 B.IND</v>
      </c>
      <c r="AA14" s="88" t="str">
        <f>'[1]Teacher Subject VERT'!AD12</f>
        <v>25 INF</v>
      </c>
      <c r="AB14" s="89" t="str">
        <f>'[1]Teacher Subject VERT'!AE12</f>
        <v>16 KIM</v>
      </c>
      <c r="AC14" s="90" t="str">
        <f>'[1]Teacher Subject VERT'!AF12</f>
        <v xml:space="preserve">20 MTK </v>
      </c>
      <c r="AD14" s="140" t="str">
        <f>'[1]Teacher Subject VERT'!AG12</f>
        <v>13 SEJ</v>
      </c>
      <c r="AE14" s="92" t="str">
        <f>'[1]Teacher Subject VERT'!AH12</f>
        <v>36 ENG</v>
      </c>
      <c r="AF14" s="92" t="str">
        <f>'[1]Teacher Subject VERT'!AI12</f>
        <v xml:space="preserve">22 MTK </v>
      </c>
      <c r="AG14" s="93" t="str">
        <f>'[1]Teacher Subject VERT'!AJ12</f>
        <v>54 EKO</v>
      </c>
      <c r="AH14" s="141"/>
    </row>
    <row r="15" spans="1:34" s="133" customFormat="1" ht="20.100000000000001" customHeight="1" x14ac:dyDescent="0.2">
      <c r="A15" s="12"/>
      <c r="B15" s="95" t="s">
        <v>52</v>
      </c>
      <c r="C15" s="144">
        <v>8</v>
      </c>
      <c r="D15" s="97" t="str">
        <f>'[1]Teacher Subject VERT'!G13</f>
        <v>28 SEJ</v>
      </c>
      <c r="E15" s="98" t="str">
        <f>'[1]Teacher Subject VERT'!H13</f>
        <v>12 EKO</v>
      </c>
      <c r="F15" s="98" t="str">
        <f>'[1]Teacher Subject VERT'!I13</f>
        <v>50 PKWU</v>
      </c>
      <c r="G15" s="98" t="str">
        <f>'[1]Teacher Subject VERT'!J13</f>
        <v>30 KIM</v>
      </c>
      <c r="H15" s="98" t="str">
        <f>'[1]Teacher Subject VERT'!K13</f>
        <v xml:space="preserve">53 MTK </v>
      </c>
      <c r="I15" s="98" t="str">
        <f>'[1]Teacher Subject VERT'!L13</f>
        <v>32 BTQ</v>
      </c>
      <c r="J15" s="98" t="str">
        <f>'[1]Teacher Subject VERT'!M13</f>
        <v>24 GEO</v>
      </c>
      <c r="K15" s="98" t="str">
        <f>'[1]Teacher Subject VERT'!N13</f>
        <v>33 EKO</v>
      </c>
      <c r="L15" s="98" t="str">
        <f>'[1]Teacher Subject VERT'!O13</f>
        <v>49 KIM</v>
      </c>
      <c r="M15" s="99" t="str">
        <f>'[1]Teacher Subject VERT'!P13</f>
        <v xml:space="preserve">55 MTK </v>
      </c>
      <c r="N15" s="100" t="str">
        <f>'[1]Teacher Subject VERT'!Q13</f>
        <v>52 ENG</v>
      </c>
      <c r="O15" s="101" t="str">
        <f>'[1]Teacher Subject VERT'!R13</f>
        <v>14 FSK</v>
      </c>
      <c r="P15" s="101" t="str">
        <f>'[1]Teacher Subject VERT'!S13</f>
        <v>40 ENG</v>
      </c>
      <c r="Q15" s="101" t="str">
        <f>'[1]Teacher Subject VERT'!T13</f>
        <v>9 B.IND</v>
      </c>
      <c r="R15" s="102" t="str">
        <f>'[1]Teacher Subject VERT'!U13</f>
        <v>37 SEJ</v>
      </c>
      <c r="S15" s="103" t="str">
        <f>'[1]Teacher Subject VERT'!V13</f>
        <v>29 BIO</v>
      </c>
      <c r="T15" s="104" t="str">
        <f>'[1]Teacher Subject VERT'!W13</f>
        <v>41 PAI</v>
      </c>
      <c r="U15" s="104" t="str">
        <f>'[1]Teacher Subject VERT'!X13</f>
        <v>11 SOS</v>
      </c>
      <c r="V15" s="104" t="str">
        <f>'[1]Teacher Subject VERT'!Y13</f>
        <v>38 PKWU</v>
      </c>
      <c r="W15" s="105" t="str">
        <f>'[1]Teacher Subject VERT'!Z13</f>
        <v>36 ENG</v>
      </c>
      <c r="X15" s="106" t="str">
        <f>'[1]Teacher Subject VERT'!AA13</f>
        <v>17 PKn</v>
      </c>
      <c r="Y15" s="107" t="str">
        <f>'[1]Teacher Subject VERT'!AB13</f>
        <v>56 BIO</v>
      </c>
      <c r="Z15" s="108" t="str">
        <f>'[1]Teacher Subject VERT'!AC13</f>
        <v>2 FSK</v>
      </c>
      <c r="AA15" s="109" t="str">
        <f>'[1]Teacher Subject VERT'!AD13</f>
        <v>3 B.IND</v>
      </c>
      <c r="AB15" s="110" t="str">
        <f>'[1]Teacher Subject VERT'!AE13</f>
        <v>10 PAI</v>
      </c>
      <c r="AC15" s="111" t="str">
        <f>'[1]Teacher Subject VERT'!AF13</f>
        <v>6 SOS</v>
      </c>
      <c r="AD15" s="146" t="str">
        <f>'[1]Teacher Subject VERT'!AG13</f>
        <v>13 SEJ</v>
      </c>
      <c r="AE15" s="113" t="str">
        <f>'[1]Teacher Subject VERT'!AH13</f>
        <v>51 B.IND</v>
      </c>
      <c r="AF15" s="113" t="str">
        <f>'[1]Teacher Subject VERT'!AI13</f>
        <v xml:space="preserve">22 MTK </v>
      </c>
      <c r="AG15" s="114" t="str">
        <f>'[1]Teacher Subject VERT'!AJ13</f>
        <v>54 EKO</v>
      </c>
      <c r="AH15" s="141"/>
    </row>
    <row r="16" spans="1:34" s="133" customFormat="1" ht="20.100000000000001" customHeight="1" x14ac:dyDescent="0.2">
      <c r="A16" s="12"/>
      <c r="B16" s="95" t="s">
        <v>53</v>
      </c>
      <c r="C16" s="144">
        <v>9</v>
      </c>
      <c r="D16" s="97" t="str">
        <f>'[1]Teacher Subject VERT'!G14</f>
        <v>14 FSK</v>
      </c>
      <c r="E16" s="98" t="str">
        <f>'[1]Teacher Subject VERT'!H14</f>
        <v>12 EKO</v>
      </c>
      <c r="F16" s="98" t="str">
        <f>'[1]Teacher Subject VERT'!I14</f>
        <v>32 BTQ</v>
      </c>
      <c r="G16" s="98" t="str">
        <f>'[1]Teacher Subject VERT'!J14</f>
        <v>30 KIM</v>
      </c>
      <c r="H16" s="98" t="str">
        <f>'[1]Teacher Subject VERT'!K14</f>
        <v xml:space="preserve">53 MTK </v>
      </c>
      <c r="I16" s="98" t="str">
        <f>'[1]Teacher Subject VERT'!L14</f>
        <v>38 PKWU</v>
      </c>
      <c r="J16" s="98" t="str">
        <f>'[1]Teacher Subject VERT'!M14</f>
        <v>28 PKn</v>
      </c>
      <c r="K16" s="98" t="str">
        <f>'[1]Teacher Subject VERT'!N14</f>
        <v>33 EKO</v>
      </c>
      <c r="L16" s="98" t="str">
        <f>'[1]Teacher Subject VERT'!O14</f>
        <v>49 KIM</v>
      </c>
      <c r="M16" s="99" t="str">
        <f>'[1]Teacher Subject VERT'!P14</f>
        <v>50 PKWU</v>
      </c>
      <c r="N16" s="100" t="str">
        <f>'[1]Teacher Subject VERT'!Q14</f>
        <v>52 ENG</v>
      </c>
      <c r="O16" s="101" t="str">
        <f>'[1]Teacher Subject VERT'!R14</f>
        <v>24 PKn</v>
      </c>
      <c r="P16" s="101" t="str">
        <f>'[1]Teacher Subject VERT'!S14</f>
        <v>40 ENG</v>
      </c>
      <c r="Q16" s="101" t="str">
        <f>'[1]Teacher Subject VERT'!T14</f>
        <v>29 BIO</v>
      </c>
      <c r="R16" s="102" t="str">
        <f>'[1]Teacher Subject VERT'!U14</f>
        <v>9 B.IND</v>
      </c>
      <c r="S16" s="103" t="str">
        <f>'[1]Teacher Subject VERT'!V14</f>
        <v>34 SOS</v>
      </c>
      <c r="T16" s="104" t="str">
        <f>'[1]Teacher Subject VERT'!W14</f>
        <v>41 PAI</v>
      </c>
      <c r="U16" s="104" t="str">
        <f>'[1]Teacher Subject VERT'!X14</f>
        <v>48 INF</v>
      </c>
      <c r="V16" s="104" t="str">
        <f>'[1]Teacher Subject VERT'!Y14</f>
        <v>11 SOS</v>
      </c>
      <c r="W16" s="105" t="str">
        <f>'[1]Teacher Subject VERT'!Z14</f>
        <v>36 ENG</v>
      </c>
      <c r="X16" s="106" t="str">
        <f>'[1]Teacher Subject VERT'!AA14</f>
        <v>37 SEJ</v>
      </c>
      <c r="Y16" s="107" t="str">
        <f>'[1]Teacher Subject VERT'!AB14</f>
        <v>56 BIO</v>
      </c>
      <c r="Z16" s="108" t="str">
        <f>'[1]Teacher Subject VERT'!AC14</f>
        <v>2 FSK</v>
      </c>
      <c r="AA16" s="109" t="str">
        <f>'[1]Teacher Subject VERT'!AD14</f>
        <v>3 B.IND</v>
      </c>
      <c r="AB16" s="110" t="str">
        <f>'[1]Teacher Subject VERT'!AE14</f>
        <v>10 PAI</v>
      </c>
      <c r="AC16" s="111" t="str">
        <f>'[1]Teacher Subject VERT'!AF14</f>
        <v>6 SOS</v>
      </c>
      <c r="AD16" s="146" t="str">
        <f>'[1]Teacher Subject VERT'!AG14</f>
        <v>54 EKO</v>
      </c>
      <c r="AE16" s="113" t="str">
        <f>'[1]Teacher Subject VERT'!AH14</f>
        <v>51 B.IND</v>
      </c>
      <c r="AF16" s="113" t="str">
        <f>'[1]Teacher Subject VERT'!AI14</f>
        <v>13 SEJ</v>
      </c>
      <c r="AG16" s="114" t="str">
        <f>'[1]Teacher Subject VERT'!AJ14</f>
        <v>15 BIO</v>
      </c>
      <c r="AH16" s="141"/>
    </row>
    <row r="17" spans="1:34" s="133" customFormat="1" ht="20.100000000000001" customHeight="1" thickBot="1" x14ac:dyDescent="0.25">
      <c r="A17" s="12"/>
      <c r="B17" s="147" t="s">
        <v>55</v>
      </c>
      <c r="C17" s="148">
        <v>10</v>
      </c>
      <c r="D17" s="115" t="str">
        <f>'[1]Teacher Subject VERT'!G15</f>
        <v>14 FSK</v>
      </c>
      <c r="E17" s="116" t="str">
        <f>'[1]Teacher Subject VERT'!H15</f>
        <v>12 EKO</v>
      </c>
      <c r="F17" s="116" t="str">
        <f>'[1]Teacher Subject VERT'!I15</f>
        <v>32 BTQ</v>
      </c>
      <c r="G17" s="116" t="str">
        <f>'[1]Teacher Subject VERT'!J15</f>
        <v>30 KIM</v>
      </c>
      <c r="H17" s="116" t="str">
        <f>'[1]Teacher Subject VERT'!K15</f>
        <v xml:space="preserve">53 MTK </v>
      </c>
      <c r="I17" s="116" t="str">
        <f>'[1]Teacher Subject VERT'!L15</f>
        <v>38 PKWU</v>
      </c>
      <c r="J17" s="116" t="str">
        <f>'[1]Teacher Subject VERT'!M15</f>
        <v>28 PKn</v>
      </c>
      <c r="K17" s="116" t="str">
        <f>'[1]Teacher Subject VERT'!N15</f>
        <v>33 EKO</v>
      </c>
      <c r="L17" s="116" t="str">
        <f>'[1]Teacher Subject VERT'!O15</f>
        <v>49 KIM</v>
      </c>
      <c r="M17" s="117" t="str">
        <f>'[1]Teacher Subject VERT'!P15</f>
        <v>50 PKWU</v>
      </c>
      <c r="N17" s="118" t="str">
        <f>'[1]Teacher Subject VERT'!Q15</f>
        <v>52 ENG</v>
      </c>
      <c r="O17" s="119" t="str">
        <f>'[1]Teacher Subject VERT'!R15</f>
        <v>24 PKn</v>
      </c>
      <c r="P17" s="119" t="str">
        <f>'[1]Teacher Subject VERT'!S15</f>
        <v>40 ENG</v>
      </c>
      <c r="Q17" s="119" t="str">
        <f>'[1]Teacher Subject VERT'!T15</f>
        <v>29 BIO</v>
      </c>
      <c r="R17" s="120" t="str">
        <f>'[1]Teacher Subject VERT'!U15</f>
        <v>9 B.IND</v>
      </c>
      <c r="S17" s="121" t="str">
        <f>'[1]Teacher Subject VERT'!V15</f>
        <v>34 SOS</v>
      </c>
      <c r="T17" s="122" t="str">
        <f>'[1]Teacher Subject VERT'!W15</f>
        <v>41 PAI</v>
      </c>
      <c r="U17" s="122" t="str">
        <f>'[1]Teacher Subject VERT'!X15</f>
        <v>48 INF</v>
      </c>
      <c r="V17" s="122" t="str">
        <f>'[1]Teacher Subject VERT'!Y15</f>
        <v>11 SOS</v>
      </c>
      <c r="W17" s="123" t="str">
        <f>'[1]Teacher Subject VERT'!Z15</f>
        <v>36 ENG</v>
      </c>
      <c r="X17" s="124" t="str">
        <f>'[1]Teacher Subject VERT'!AA15</f>
        <v>37 SEJ</v>
      </c>
      <c r="Y17" s="125" t="str">
        <f>'[1]Teacher Subject VERT'!AB15</f>
        <v>56 BIO</v>
      </c>
      <c r="Z17" s="126" t="str">
        <f>'[1]Teacher Subject VERT'!AC15</f>
        <v>2 FSK</v>
      </c>
      <c r="AA17" s="127" t="str">
        <f>'[1]Teacher Subject VERT'!AD15</f>
        <v>3 B.IND</v>
      </c>
      <c r="AB17" s="128" t="str">
        <f>'[1]Teacher Subject VERT'!AE15</f>
        <v>10 PAI</v>
      </c>
      <c r="AC17" s="129" t="str">
        <f>'[1]Teacher Subject VERT'!AF15</f>
        <v>6 SOS</v>
      </c>
      <c r="AD17" s="143" t="str">
        <f>'[1]Teacher Subject VERT'!AG15</f>
        <v>54 EKO</v>
      </c>
      <c r="AE17" s="131" t="str">
        <f>'[1]Teacher Subject VERT'!AH15</f>
        <v>51 B.IND</v>
      </c>
      <c r="AF17" s="131" t="str">
        <f>'[1]Teacher Subject VERT'!AI15</f>
        <v>13 SEJ</v>
      </c>
      <c r="AG17" s="132" t="str">
        <f>'[1]Teacher Subject VERT'!AJ15</f>
        <v>15 BIO</v>
      </c>
      <c r="AH17" s="141"/>
    </row>
    <row r="18" spans="1:34" s="150" customFormat="1" ht="20.100000000000001" customHeight="1" thickBot="1" x14ac:dyDescent="0.25">
      <c r="A18" s="151"/>
      <c r="B18" s="152"/>
      <c r="C18" s="153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25"/>
    </row>
    <row r="19" spans="1:34" s="133" customFormat="1" ht="20.100000000000001" customHeight="1" x14ac:dyDescent="0.2">
      <c r="A19" s="4" t="s">
        <v>60</v>
      </c>
      <c r="B19" s="155" t="s">
        <v>29</v>
      </c>
      <c r="C19" s="156">
        <v>1</v>
      </c>
      <c r="D19" s="76" t="str">
        <f>'[1]Teacher Subject VERT'!G17</f>
        <v>32 BTQ</v>
      </c>
      <c r="E19" s="77" t="str">
        <f>'[1]Teacher Subject VERT'!H17</f>
        <v>17 PKn</v>
      </c>
      <c r="F19" s="77" t="str">
        <f>'[1]Teacher Subject VERT'!I17</f>
        <v>35 PAI</v>
      </c>
      <c r="G19" s="77" t="str">
        <f>'[1]Teacher Subject VERT'!J17</f>
        <v>56 INF</v>
      </c>
      <c r="H19" s="77" t="str">
        <f>'[1]Teacher Subject VERT'!K17</f>
        <v>28 SEJ</v>
      </c>
      <c r="I19" s="77" t="str">
        <f>'[1]Teacher Subject VERT'!L17</f>
        <v>40 ENG</v>
      </c>
      <c r="J19" s="77" t="str">
        <f>'[1]Teacher Subject VERT'!M17</f>
        <v>37 SEJ</v>
      </c>
      <c r="K19" s="77" t="str">
        <f>'[1]Teacher Subject VERT'!N17</f>
        <v>49 KIM</v>
      </c>
      <c r="L19" s="77" t="str">
        <f>'[1]Teacher Subject VERT'!O17</f>
        <v>39 PJOK</v>
      </c>
      <c r="M19" s="78" t="str">
        <f>'[1]Teacher Subject VERT'!P17</f>
        <v>34 GEO</v>
      </c>
      <c r="N19" s="79" t="str">
        <f>'[1]Teacher Subject VERT'!Q17</f>
        <v>48 INF</v>
      </c>
      <c r="O19" s="80" t="str">
        <f>'[1]Teacher Subject VERT'!R17</f>
        <v xml:space="preserve">22 MTK </v>
      </c>
      <c r="P19" s="80" t="str">
        <f>'[1]Teacher Subject VERT'!S17</f>
        <v>54 EKO</v>
      </c>
      <c r="Q19" s="80" t="str">
        <f>'[1]Teacher Subject VERT'!T17</f>
        <v>45 SBD</v>
      </c>
      <c r="R19" s="81" t="str">
        <f>'[1]Teacher Subject VERT'!U17</f>
        <v>9 B.IND</v>
      </c>
      <c r="S19" s="82" t="str">
        <f>'[1]Teacher Subject VERT'!V17</f>
        <v>42 PJOK</v>
      </c>
      <c r="T19" s="83" t="str">
        <f>'[1]Teacher Subject VERT'!W17</f>
        <v>12 EKO</v>
      </c>
      <c r="U19" s="83" t="str">
        <f>'[1]Teacher Subject VERT'!X17</f>
        <v>29 BIO</v>
      </c>
      <c r="V19" s="83" t="str">
        <f>'[1]Teacher Subject VERT'!Y17</f>
        <v>51 B.IND</v>
      </c>
      <c r="W19" s="84" t="str">
        <f>'[1]Teacher Subject VERT'!Z17</f>
        <v>38 PKWU</v>
      </c>
      <c r="X19" s="85" t="str">
        <f>'[1]Teacher Subject VERT'!AA17</f>
        <v>5 ENG</v>
      </c>
      <c r="Y19" s="86" t="str">
        <f>'[1]Teacher Subject VERT'!AB17</f>
        <v>7 PAI</v>
      </c>
      <c r="Z19" s="87" t="str">
        <f>'[1]Teacher Subject VERT'!AC17</f>
        <v xml:space="preserve">20 MTK </v>
      </c>
      <c r="AA19" s="88" t="str">
        <f>'[1]Teacher Subject VERT'!AD17</f>
        <v>55 MTL</v>
      </c>
      <c r="AB19" s="89" t="str">
        <f>'[1]Teacher Subject VERT'!AE17</f>
        <v>6 SOS</v>
      </c>
      <c r="AC19" s="90" t="str">
        <f>'[1]Teacher Subject VERT'!AF17</f>
        <v>13 SEJ</v>
      </c>
      <c r="AD19" s="140" t="str">
        <f>'[1]Teacher Subject VERT'!AG17</f>
        <v>31 PKn</v>
      </c>
      <c r="AE19" s="92" t="str">
        <f>'[1]Teacher Subject VERT'!AH17</f>
        <v>47 SBD</v>
      </c>
      <c r="AF19" s="92" t="str">
        <f>'[1]Teacher Subject VERT'!AI17</f>
        <v>3 B.IND</v>
      </c>
      <c r="AG19" s="93" t="str">
        <f>'[1]Teacher Subject VERT'!AJ17</f>
        <v>27 PKWU</v>
      </c>
      <c r="AH19" s="141"/>
    </row>
    <row r="20" spans="1:34" s="133" customFormat="1" ht="20.100000000000001" customHeight="1" x14ac:dyDescent="0.2">
      <c r="A20" s="12"/>
      <c r="B20" s="95" t="s">
        <v>32</v>
      </c>
      <c r="C20" s="157">
        <v>2</v>
      </c>
      <c r="D20" s="97" t="str">
        <f>'[1]Teacher Subject VERT'!G18</f>
        <v>32 BTQ</v>
      </c>
      <c r="E20" s="98" t="str">
        <f>'[1]Teacher Subject VERT'!H18</f>
        <v>17 PKn</v>
      </c>
      <c r="F20" s="98" t="str">
        <f>'[1]Teacher Subject VERT'!I18</f>
        <v>35 PAI</v>
      </c>
      <c r="G20" s="98" t="str">
        <f>'[1]Teacher Subject VERT'!J18</f>
        <v>56 INF</v>
      </c>
      <c r="H20" s="98" t="str">
        <f>'[1]Teacher Subject VERT'!K18</f>
        <v>28 SEJ</v>
      </c>
      <c r="I20" s="98" t="str">
        <f>'[1]Teacher Subject VERT'!L18</f>
        <v>40 ENG</v>
      </c>
      <c r="J20" s="98" t="str">
        <f>'[1]Teacher Subject VERT'!M18</f>
        <v>37 SEJ</v>
      </c>
      <c r="K20" s="98" t="str">
        <f>'[1]Teacher Subject VERT'!N18</f>
        <v>49 KIM</v>
      </c>
      <c r="L20" s="98" t="str">
        <f>'[1]Teacher Subject VERT'!O18</f>
        <v>39 PJOK</v>
      </c>
      <c r="M20" s="99" t="str">
        <f>'[1]Teacher Subject VERT'!P18</f>
        <v>34 GEO</v>
      </c>
      <c r="N20" s="100" t="str">
        <f>'[1]Teacher Subject VERT'!Q18</f>
        <v>48 INF</v>
      </c>
      <c r="O20" s="101" t="str">
        <f>'[1]Teacher Subject VERT'!R18</f>
        <v xml:space="preserve">22 MTK </v>
      </c>
      <c r="P20" s="101" t="str">
        <f>'[1]Teacher Subject VERT'!S18</f>
        <v>54 EKO</v>
      </c>
      <c r="Q20" s="101" t="str">
        <f>'[1]Teacher Subject VERT'!T18</f>
        <v>45 SBD</v>
      </c>
      <c r="R20" s="102" t="str">
        <f>'[1]Teacher Subject VERT'!U18</f>
        <v>9 B.IND</v>
      </c>
      <c r="S20" s="103" t="str">
        <f>'[1]Teacher Subject VERT'!V18</f>
        <v>42 PJOK</v>
      </c>
      <c r="T20" s="104" t="str">
        <f>'[1]Teacher Subject VERT'!W18</f>
        <v>12 EKO</v>
      </c>
      <c r="U20" s="104" t="str">
        <f>'[1]Teacher Subject VERT'!X18</f>
        <v>29 BIO</v>
      </c>
      <c r="V20" s="104" t="str">
        <f>'[1]Teacher Subject VERT'!Y18</f>
        <v>51 B.IND</v>
      </c>
      <c r="W20" s="105" t="str">
        <f>'[1]Teacher Subject VERT'!Z18</f>
        <v>38 PKWU</v>
      </c>
      <c r="X20" s="106" t="str">
        <f>'[1]Teacher Subject VERT'!AA18</f>
        <v>5 ENG</v>
      </c>
      <c r="Y20" s="107" t="str">
        <f>'[1]Teacher Subject VERT'!AB18</f>
        <v>7 PAI</v>
      </c>
      <c r="Z20" s="108" t="str">
        <f>'[1]Teacher Subject VERT'!AC18</f>
        <v xml:space="preserve">20 MTK </v>
      </c>
      <c r="AA20" s="109" t="str">
        <f>'[1]Teacher Subject VERT'!AD18</f>
        <v>55 MTL</v>
      </c>
      <c r="AB20" s="110" t="str">
        <f>'[1]Teacher Subject VERT'!AE18</f>
        <v>6 SOS</v>
      </c>
      <c r="AC20" s="111" t="str">
        <f>'[1]Teacher Subject VERT'!AF18</f>
        <v>13 SEJ</v>
      </c>
      <c r="AD20" s="146" t="str">
        <f>'[1]Teacher Subject VERT'!AG18</f>
        <v>31 PKn</v>
      </c>
      <c r="AE20" s="113" t="str">
        <f>'[1]Teacher Subject VERT'!AH18</f>
        <v>47 SBD</v>
      </c>
      <c r="AF20" s="113" t="str">
        <f>'[1]Teacher Subject VERT'!AI18</f>
        <v>3 B.IND</v>
      </c>
      <c r="AG20" s="114" t="str">
        <f>'[1]Teacher Subject VERT'!AJ18</f>
        <v>27 PKWU</v>
      </c>
      <c r="AH20" s="141"/>
    </row>
    <row r="21" spans="1:34" s="133" customFormat="1" ht="20.100000000000001" customHeight="1" x14ac:dyDescent="0.2">
      <c r="A21" s="12"/>
      <c r="B21" s="95" t="s">
        <v>34</v>
      </c>
      <c r="C21" s="157">
        <v>3</v>
      </c>
      <c r="D21" s="97" t="str">
        <f>'[1]Teacher Subject VERT'!G19</f>
        <v>52 ENG</v>
      </c>
      <c r="E21" s="98" t="str">
        <f>'[1]Teacher Subject VERT'!H19</f>
        <v xml:space="preserve">53 MTK </v>
      </c>
      <c r="F21" s="98" t="str">
        <f>'[1]Teacher Subject VERT'!I19</f>
        <v>12 EKO</v>
      </c>
      <c r="G21" s="98" t="str">
        <f>'[1]Teacher Subject VERT'!J19</f>
        <v>35 BTQ</v>
      </c>
      <c r="H21" s="98" t="str">
        <f>'[1]Teacher Subject VERT'!K19</f>
        <v>23 BIO</v>
      </c>
      <c r="I21" s="98" t="str">
        <f>'[1]Teacher Subject VERT'!L19</f>
        <v>40 ENG</v>
      </c>
      <c r="J21" s="98" t="str">
        <f>'[1]Teacher Subject VERT'!M19</f>
        <v>38 PKWU</v>
      </c>
      <c r="K21" s="98" t="str">
        <f>'[1]Teacher Subject VERT'!N19</f>
        <v>49 KIM</v>
      </c>
      <c r="L21" s="98" t="str">
        <f>'[1]Teacher Subject VERT'!O19</f>
        <v>39 PJOK</v>
      </c>
      <c r="M21" s="99" t="str">
        <f>'[1]Teacher Subject VERT'!P19</f>
        <v>37 SEJ</v>
      </c>
      <c r="N21" s="100" t="str">
        <f>'[1]Teacher Subject VERT'!Q19</f>
        <v xml:space="preserve">22 MTK </v>
      </c>
      <c r="O21" s="101" t="str">
        <f>'[1]Teacher Subject VERT'!R19</f>
        <v>47 SBD</v>
      </c>
      <c r="P21" s="101" t="str">
        <f>'[1]Teacher Subject VERT'!S19</f>
        <v>24 PKn</v>
      </c>
      <c r="Q21" s="101" t="str">
        <f>'[1]Teacher Subject VERT'!T19</f>
        <v>48 INF</v>
      </c>
      <c r="R21" s="102" t="str">
        <f>'[1]Teacher Subject VERT'!U19</f>
        <v xml:space="preserve">55 MTK </v>
      </c>
      <c r="S21" s="103" t="str">
        <f>'[1]Teacher Subject VERT'!V19</f>
        <v>42 PJOK</v>
      </c>
      <c r="T21" s="104" t="str">
        <f>'[1]Teacher Subject VERT'!W19</f>
        <v>28 PKn</v>
      </c>
      <c r="U21" s="104" t="str">
        <f>'[1]Teacher Subject VERT'!X19</f>
        <v>29 BIO</v>
      </c>
      <c r="V21" s="104" t="str">
        <f>'[1]Teacher Subject VERT'!Y19</f>
        <v>51 B.IND</v>
      </c>
      <c r="W21" s="105" t="str">
        <f>'[1]Teacher Subject VERT'!Z19</f>
        <v>54 EKO</v>
      </c>
      <c r="X21" s="106" t="str">
        <f>'[1]Teacher Subject VERT'!AA19</f>
        <v>45 SBD</v>
      </c>
      <c r="Y21" s="107" t="str">
        <f>'[1]Teacher Subject VERT'!AB19</f>
        <v>7 PAI</v>
      </c>
      <c r="Z21" s="108" t="str">
        <f>'[1]Teacher Subject VERT'!AC19</f>
        <v>17 PKn</v>
      </c>
      <c r="AA21" s="109" t="str">
        <f>'[1]Teacher Subject VERT'!AD19</f>
        <v>4 BIO</v>
      </c>
      <c r="AB21" s="110" t="str">
        <f>'[1]Teacher Subject VERT'!AE19</f>
        <v>6 SOS</v>
      </c>
      <c r="AC21" s="111" t="str">
        <f>'[1]Teacher Subject VERT'!AF19</f>
        <v>2 FSK</v>
      </c>
      <c r="AD21" s="146" t="str">
        <f>'[1]Teacher Subject VERT'!AG19</f>
        <v>5 ENG</v>
      </c>
      <c r="AE21" s="113" t="str">
        <f>'[1]Teacher Subject VERT'!AH19</f>
        <v>15 BIO</v>
      </c>
      <c r="AF21" s="113" t="str">
        <f>'[1]Teacher Subject VERT'!AI19</f>
        <v>3 B.IND</v>
      </c>
      <c r="AG21" s="114" t="str">
        <f>'[1]Teacher Subject VERT'!AJ19</f>
        <v>13 SEJ</v>
      </c>
      <c r="AH21" s="141"/>
    </row>
    <row r="22" spans="1:34" s="133" customFormat="1" ht="20.100000000000001" customHeight="1" thickBot="1" x14ac:dyDescent="0.25">
      <c r="A22" s="12"/>
      <c r="B22" s="95" t="s">
        <v>36</v>
      </c>
      <c r="C22" s="157">
        <v>4</v>
      </c>
      <c r="D22" s="115" t="str">
        <f>'[1]Teacher Subject VERT'!G20</f>
        <v>52 ENG</v>
      </c>
      <c r="E22" s="116" t="str">
        <f>'[1]Teacher Subject VERT'!H20</f>
        <v xml:space="preserve">53 MTK </v>
      </c>
      <c r="F22" s="116" t="str">
        <f>'[1]Teacher Subject VERT'!I20</f>
        <v>12 EKO</v>
      </c>
      <c r="G22" s="116" t="str">
        <f>'[1]Teacher Subject VERT'!J20</f>
        <v>35 BTQ</v>
      </c>
      <c r="H22" s="116" t="str">
        <f>'[1]Teacher Subject VERT'!K20</f>
        <v>23 BIO</v>
      </c>
      <c r="I22" s="116" t="str">
        <f>'[1]Teacher Subject VERT'!L20</f>
        <v>49 KIM</v>
      </c>
      <c r="J22" s="116" t="str">
        <f>'[1]Teacher Subject VERT'!M20</f>
        <v>38 PKWU</v>
      </c>
      <c r="K22" s="116" t="str">
        <f>'[1]Teacher Subject VERT'!N20</f>
        <v>39 PJOK</v>
      </c>
      <c r="L22" s="116" t="str">
        <f>'[1]Teacher Subject VERT'!O20</f>
        <v>33 EKO</v>
      </c>
      <c r="M22" s="117" t="str">
        <f>'[1]Teacher Subject VERT'!P20</f>
        <v>37 SEJ</v>
      </c>
      <c r="N22" s="118" t="str">
        <f>'[1]Teacher Subject VERT'!Q20</f>
        <v xml:space="preserve">22 MTK </v>
      </c>
      <c r="O22" s="119" t="str">
        <f>'[1]Teacher Subject VERT'!R20</f>
        <v>47 SBD</v>
      </c>
      <c r="P22" s="119" t="str">
        <f>'[1]Teacher Subject VERT'!S20</f>
        <v>24 PKn</v>
      </c>
      <c r="Q22" s="119" t="str">
        <f>'[1]Teacher Subject VERT'!T20</f>
        <v>48 INF</v>
      </c>
      <c r="R22" s="120" t="str">
        <f>'[1]Teacher Subject VERT'!U20</f>
        <v xml:space="preserve">55 MTK </v>
      </c>
      <c r="S22" s="121" t="str">
        <f>'[1]Teacher Subject VERT'!V20</f>
        <v>34 SOS</v>
      </c>
      <c r="T22" s="122" t="str">
        <f>'[1]Teacher Subject VERT'!W20</f>
        <v>28 PKn</v>
      </c>
      <c r="U22" s="122" t="str">
        <f>'[1]Teacher Subject VERT'!X20</f>
        <v>31 PKn</v>
      </c>
      <c r="V22" s="122" t="str">
        <f>'[1]Teacher Subject VERT'!Y20</f>
        <v>42 PJOK</v>
      </c>
      <c r="W22" s="123" t="str">
        <f>'[1]Teacher Subject VERT'!Z20</f>
        <v>54 EKO</v>
      </c>
      <c r="X22" s="124" t="str">
        <f>'[1]Teacher Subject VERT'!AA20</f>
        <v>45 SBD</v>
      </c>
      <c r="Y22" s="125" t="str">
        <f>'[1]Teacher Subject VERT'!AB20</f>
        <v>21 B.IND</v>
      </c>
      <c r="Z22" s="126" t="str">
        <f>'[1]Teacher Subject VERT'!AC20</f>
        <v>17 PKn</v>
      </c>
      <c r="AA22" s="127" t="str">
        <f>'[1]Teacher Subject VERT'!AD20</f>
        <v>4 BIO</v>
      </c>
      <c r="AB22" s="128" t="str">
        <f>'[1]Teacher Subject VERT'!AE20</f>
        <v>27 PKWU</v>
      </c>
      <c r="AC22" s="129" t="str">
        <f>'[1]Teacher Subject VERT'!AF20</f>
        <v>2 FSK</v>
      </c>
      <c r="AD22" s="143" t="str">
        <f>'[1]Teacher Subject VERT'!AG20</f>
        <v>5 ENG</v>
      </c>
      <c r="AE22" s="131" t="str">
        <f>'[1]Teacher Subject VERT'!AH20</f>
        <v>15 BIO</v>
      </c>
      <c r="AF22" s="131" t="str">
        <f>'[1]Teacher Subject VERT'!AI20</f>
        <v>50 PJOK</v>
      </c>
      <c r="AG22" s="132" t="str">
        <f>'[1]Teacher Subject VERT'!AJ20</f>
        <v>13 SEJ</v>
      </c>
      <c r="AH22" s="141"/>
    </row>
    <row r="23" spans="1:34" s="133" customFormat="1" ht="20.100000000000001" customHeight="1" thickBot="1" x14ac:dyDescent="0.25">
      <c r="A23" s="12"/>
      <c r="B23" s="95" t="s">
        <v>38</v>
      </c>
      <c r="C23" s="158" t="s">
        <v>39</v>
      </c>
      <c r="D23" s="159" t="s">
        <v>40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7"/>
      <c r="AH23" s="72"/>
    </row>
    <row r="24" spans="1:34" s="133" customFormat="1" ht="20.100000000000001" customHeight="1" x14ac:dyDescent="0.2">
      <c r="A24" s="12"/>
      <c r="B24" s="95" t="s">
        <v>42</v>
      </c>
      <c r="C24" s="157">
        <v>5</v>
      </c>
      <c r="D24" s="76" t="str">
        <f>'[1]Teacher Subject VERT'!G21</f>
        <v>52 ENG</v>
      </c>
      <c r="E24" s="77" t="str">
        <f>'[1]Teacher Subject VERT'!H21</f>
        <v xml:space="preserve">53 MTK </v>
      </c>
      <c r="F24" s="77" t="str">
        <f>'[1]Teacher Subject VERT'!I21</f>
        <v>12 EKO</v>
      </c>
      <c r="G24" s="77" t="str">
        <f>'[1]Teacher Subject VERT'!J21</f>
        <v>17 PKn</v>
      </c>
      <c r="H24" s="77" t="str">
        <f>'[1]Teacher Subject VERT'!K21</f>
        <v>23 BIO</v>
      </c>
      <c r="I24" s="77" t="str">
        <f>'[1]Teacher Subject VERT'!L21</f>
        <v>49 KIM</v>
      </c>
      <c r="J24" s="77" t="str">
        <f>'[1]Teacher Subject VERT'!M21</f>
        <v>45 SBD</v>
      </c>
      <c r="K24" s="77" t="str">
        <f>'[1]Teacher Subject VERT'!N21</f>
        <v>39 PJOK</v>
      </c>
      <c r="L24" s="77" t="str">
        <f>'[1]Teacher Subject VERT'!O21</f>
        <v>33 EKO</v>
      </c>
      <c r="M24" s="78" t="str">
        <f>'[1]Teacher Subject VERT'!P21</f>
        <v>56 INF</v>
      </c>
      <c r="N24" s="79" t="str">
        <f>'[1]Teacher Subject VERT'!Q21</f>
        <v>9 B.IND</v>
      </c>
      <c r="O24" s="80" t="str">
        <f>'[1]Teacher Subject VERT'!R21</f>
        <v>32 PI</v>
      </c>
      <c r="P24" s="80" t="str">
        <f>'[1]Teacher Subject VERT'!S21</f>
        <v xml:space="preserve">22 MTK </v>
      </c>
      <c r="Q24" s="80" t="str">
        <f>'[1]Teacher Subject VERT'!T21</f>
        <v xml:space="preserve">55 MTK </v>
      </c>
      <c r="R24" s="81" t="str">
        <f>'[1]Teacher Subject VERT'!U21</f>
        <v>29 BIO</v>
      </c>
      <c r="S24" s="82" t="str">
        <f>'[1]Teacher Subject VERT'!V21</f>
        <v>34 SOS</v>
      </c>
      <c r="T24" s="83" t="str">
        <f>'[1]Teacher Subject VERT'!W21</f>
        <v>35 PI</v>
      </c>
      <c r="U24" s="83" t="str">
        <f>'[1]Teacher Subject VERT'!X21</f>
        <v>31 PKn</v>
      </c>
      <c r="V24" s="83" t="str">
        <f>'[1]Teacher Subject VERT'!Y21</f>
        <v>42 PJOK</v>
      </c>
      <c r="W24" s="84" t="str">
        <f>'[1]Teacher Subject VERT'!Z21</f>
        <v>37 SEJ</v>
      </c>
      <c r="X24" s="85" t="str">
        <f>'[1]Teacher Subject VERT'!AA21</f>
        <v xml:space="preserve">20 MTK </v>
      </c>
      <c r="Y24" s="86" t="str">
        <f>'[1]Teacher Subject VERT'!AB21</f>
        <v>21 B.IND</v>
      </c>
      <c r="Z24" s="87" t="str">
        <f>'[1]Teacher Subject VERT'!AC21</f>
        <v>47 SBD</v>
      </c>
      <c r="AA24" s="88" t="str">
        <f>'[1]Teacher Subject VERT'!AD21</f>
        <v>4 BIO</v>
      </c>
      <c r="AB24" s="89" t="str">
        <f>'[1]Teacher Subject VERT'!AE21</f>
        <v>27 PKWU</v>
      </c>
      <c r="AC24" s="90" t="str">
        <f>'[1]Teacher Subject VERT'!AF21</f>
        <v>2 FSK</v>
      </c>
      <c r="AD24" s="140" t="str">
        <f>'[1]Teacher Subject VERT'!AG21</f>
        <v>15 BIO</v>
      </c>
      <c r="AE24" s="92" t="str">
        <f>'[1]Teacher Subject VERT'!AH21</f>
        <v>54 EKO</v>
      </c>
      <c r="AF24" s="92" t="str">
        <f>'[1]Teacher Subject VERT'!AI21</f>
        <v>50 PJOK</v>
      </c>
      <c r="AG24" s="93" t="str">
        <f>'[1]Teacher Subject VERT'!AJ21</f>
        <v>6 SOS</v>
      </c>
      <c r="AH24" s="141"/>
    </row>
    <row r="25" spans="1:34" s="133" customFormat="1" ht="20.100000000000001" customHeight="1" thickBot="1" x14ac:dyDescent="0.25">
      <c r="A25" s="12"/>
      <c r="B25" s="95" t="s">
        <v>44</v>
      </c>
      <c r="C25" s="157">
        <v>6</v>
      </c>
      <c r="D25" s="115" t="str">
        <f>'[1]Teacher Subject VERT'!G22</f>
        <v>12 EKO</v>
      </c>
      <c r="E25" s="116" t="str">
        <f>'[1]Teacher Subject VERT'!H22</f>
        <v>23 BIO</v>
      </c>
      <c r="F25" s="116" t="str">
        <f>'[1]Teacher Subject VERT'!I22</f>
        <v xml:space="preserve">53 MTK </v>
      </c>
      <c r="G25" s="116" t="str">
        <f>'[1]Teacher Subject VERT'!J22</f>
        <v>17 PKn</v>
      </c>
      <c r="H25" s="116" t="str">
        <f>'[1]Teacher Subject VERT'!K22</f>
        <v>40 ENG</v>
      </c>
      <c r="I25" s="116" t="str">
        <f>'[1]Teacher Subject VERT'!L22</f>
        <v>49 KIM</v>
      </c>
      <c r="J25" s="116" t="str">
        <f>'[1]Teacher Subject VERT'!M22</f>
        <v>45 SBD</v>
      </c>
      <c r="K25" s="116" t="str">
        <f>'[1]Teacher Subject VERT'!N22</f>
        <v>39 PJOK</v>
      </c>
      <c r="L25" s="116" t="str">
        <f>'[1]Teacher Subject VERT'!O22</f>
        <v>33 EKO</v>
      </c>
      <c r="M25" s="117" t="str">
        <f>'[1]Teacher Subject VERT'!P22</f>
        <v>56 INF</v>
      </c>
      <c r="N25" s="118" t="str">
        <f>'[1]Teacher Subject VERT'!Q22</f>
        <v>9 B.IND</v>
      </c>
      <c r="O25" s="119" t="str">
        <f>'[1]Teacher Subject VERT'!R22</f>
        <v>32 PI</v>
      </c>
      <c r="P25" s="119" t="str">
        <f>'[1]Teacher Subject VERT'!S22</f>
        <v xml:space="preserve">22 MTK </v>
      </c>
      <c r="Q25" s="119" t="str">
        <f>'[1]Teacher Subject VERT'!T22</f>
        <v xml:space="preserve">55 MTK </v>
      </c>
      <c r="R25" s="120" t="str">
        <f>'[1]Teacher Subject VERT'!U22</f>
        <v>29 BIO</v>
      </c>
      <c r="S25" s="121" t="str">
        <f>'[1]Teacher Subject VERT'!V22</f>
        <v>52 ENG</v>
      </c>
      <c r="T25" s="122" t="str">
        <f>'[1]Teacher Subject VERT'!W22</f>
        <v>35 PI</v>
      </c>
      <c r="U25" s="122" t="str">
        <f>'[1]Teacher Subject VERT'!X22</f>
        <v>51 B.IND</v>
      </c>
      <c r="V25" s="122" t="str">
        <f>'[1]Teacher Subject VERT'!Y22</f>
        <v>42 PJOK</v>
      </c>
      <c r="W25" s="123" t="str">
        <f>'[1]Teacher Subject VERT'!Z22</f>
        <v>37 SEJ</v>
      </c>
      <c r="X25" s="124" t="str">
        <f>'[1]Teacher Subject VERT'!AA22</f>
        <v xml:space="preserve">20 MTK </v>
      </c>
      <c r="Y25" s="125" t="str">
        <f>'[1]Teacher Subject VERT'!AB22</f>
        <v>21 B.IND</v>
      </c>
      <c r="Z25" s="126" t="str">
        <f>'[1]Teacher Subject VERT'!AC22</f>
        <v>47 SBD</v>
      </c>
      <c r="AA25" s="127" t="str">
        <f>'[1]Teacher Subject VERT'!AD22</f>
        <v>5 ENG</v>
      </c>
      <c r="AB25" s="128" t="str">
        <f>'[1]Teacher Subject VERT'!AE22</f>
        <v>2 FSK</v>
      </c>
      <c r="AC25" s="129" t="str">
        <f>'[1]Teacher Subject VERT'!AF22</f>
        <v>3 B.IND</v>
      </c>
      <c r="AD25" s="143" t="str">
        <f>'[1]Teacher Subject VERT'!AG22</f>
        <v>15 BIO</v>
      </c>
      <c r="AE25" s="131" t="str">
        <f>'[1]Teacher Subject VERT'!AH22</f>
        <v>54 EKO</v>
      </c>
      <c r="AF25" s="131" t="str">
        <f>'[1]Teacher Subject VERT'!AI22</f>
        <v>50 PJOK</v>
      </c>
      <c r="AG25" s="132" t="str">
        <f>'[1]Teacher Subject VERT'!AJ22</f>
        <v>6 SOS</v>
      </c>
      <c r="AH25" s="141"/>
    </row>
    <row r="26" spans="1:34" s="133" customFormat="1" ht="20.100000000000001" customHeight="1" thickBot="1" x14ac:dyDescent="0.25">
      <c r="A26" s="12"/>
      <c r="B26" s="95" t="s">
        <v>46</v>
      </c>
      <c r="C26" s="158" t="s">
        <v>47</v>
      </c>
      <c r="D26" s="159" t="s">
        <v>48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7"/>
      <c r="AH26" s="160"/>
    </row>
    <row r="27" spans="1:34" s="133" customFormat="1" ht="20.100000000000001" customHeight="1" x14ac:dyDescent="0.2">
      <c r="A27" s="12"/>
      <c r="B27" s="95" t="s">
        <v>62</v>
      </c>
      <c r="C27" s="157">
        <v>7</v>
      </c>
      <c r="D27" s="76" t="str">
        <f>'[1]Teacher Subject VERT'!G23</f>
        <v>12 EKO</v>
      </c>
      <c r="E27" s="77" t="str">
        <f>'[1]Teacher Subject VERT'!H23</f>
        <v>23 BIO</v>
      </c>
      <c r="F27" s="77" t="str">
        <f>'[1]Teacher Subject VERT'!I23</f>
        <v xml:space="preserve">53 MTK </v>
      </c>
      <c r="G27" s="77" t="str">
        <f>'[1]Teacher Subject VERT'!J23</f>
        <v>50 PKWU</v>
      </c>
      <c r="H27" s="77" t="str">
        <f>'[1]Teacher Subject VERT'!K23</f>
        <v>40 ENG</v>
      </c>
      <c r="I27" s="77" t="str">
        <f>'[1]Teacher Subject VERT'!L23</f>
        <v>34 GEO</v>
      </c>
      <c r="J27" s="77" t="str">
        <f>'[1]Teacher Subject VERT'!M23</f>
        <v>35 PAI</v>
      </c>
      <c r="K27" s="77" t="str">
        <f>'[1]Teacher Subject VERT'!N23</f>
        <v>45 SBD</v>
      </c>
      <c r="L27" s="77" t="str">
        <f>'[1]Teacher Subject VERT'!O23</f>
        <v>28 PKn</v>
      </c>
      <c r="M27" s="78" t="str">
        <f>'[1]Teacher Subject VERT'!P23</f>
        <v>32 PAI</v>
      </c>
      <c r="N27" s="79" t="str">
        <f>'[1]Teacher Subject VERT'!Q23</f>
        <v>24 PKn</v>
      </c>
      <c r="O27" s="80" t="str">
        <f>'[1]Teacher Subject VERT'!R23</f>
        <v>9 B.IND</v>
      </c>
      <c r="P27" s="80" t="str">
        <f>'[1]Teacher Subject VERT'!S23</f>
        <v>38 PKWU</v>
      </c>
      <c r="Q27" s="80" t="str">
        <f>'[1]Teacher Subject VERT'!T23</f>
        <v>29 BIO</v>
      </c>
      <c r="R27" s="81" t="str">
        <f>'[1]Teacher Subject VERT'!U23</f>
        <v>48 INF</v>
      </c>
      <c r="S27" s="82" t="str">
        <f>'[1]Teacher Subject VERT'!V23</f>
        <v>52 ENG</v>
      </c>
      <c r="T27" s="83" t="str">
        <f>'[1]Teacher Subject VERT'!W23</f>
        <v>37 SEJ</v>
      </c>
      <c r="U27" s="83" t="str">
        <f>'[1]Teacher Subject VERT'!X23</f>
        <v>51 B.IND</v>
      </c>
      <c r="V27" s="83" t="str">
        <f>'[1]Teacher Subject VERT'!Y23</f>
        <v>33 EKO</v>
      </c>
      <c r="W27" s="84" t="str">
        <f>'[1]Teacher Subject VERT'!Z23</f>
        <v>31 PKn</v>
      </c>
      <c r="X27" s="85" t="str">
        <f>'[1]Teacher Subject VERT'!AA23</f>
        <v>27 PKWU</v>
      </c>
      <c r="Y27" s="86" t="str">
        <f>'[1]Teacher Subject VERT'!AB23</f>
        <v>47 SBD</v>
      </c>
      <c r="Z27" s="87" t="str">
        <f>'[1]Teacher Subject VERT'!AC23</f>
        <v>13 SEJ</v>
      </c>
      <c r="AA27" s="88" t="str">
        <f>'[1]Teacher Subject VERT'!AD23</f>
        <v>5 ENG</v>
      </c>
      <c r="AB27" s="89" t="str">
        <f>'[1]Teacher Subject VERT'!AE23</f>
        <v>2 FSK</v>
      </c>
      <c r="AC27" s="90" t="str">
        <f>'[1]Teacher Subject VERT'!AF23</f>
        <v>3 B.IND</v>
      </c>
      <c r="AD27" s="140" t="str">
        <f>'[1]Teacher Subject VERT'!AG23</f>
        <v>49 GEO</v>
      </c>
      <c r="AE27" s="92" t="str">
        <f>'[1]Teacher Subject VERT'!AH23</f>
        <v>6 SOS</v>
      </c>
      <c r="AF27" s="92" t="str">
        <f>'[1]Teacher Subject VERT'!AI23</f>
        <v>15 BIO</v>
      </c>
      <c r="AG27" s="93" t="str">
        <f>'[1]Teacher Subject VERT'!AJ23</f>
        <v>54 EKO</v>
      </c>
      <c r="AH27" s="141"/>
    </row>
    <row r="28" spans="1:34" s="133" customFormat="1" ht="20.100000000000001" customHeight="1" x14ac:dyDescent="0.2">
      <c r="A28" s="12"/>
      <c r="B28" s="95" t="s">
        <v>64</v>
      </c>
      <c r="C28" s="157">
        <v>8</v>
      </c>
      <c r="D28" s="97" t="str">
        <f>'[1]Teacher Subject VERT'!G24</f>
        <v>12 EKO</v>
      </c>
      <c r="E28" s="98" t="str">
        <f>'[1]Teacher Subject VERT'!H24</f>
        <v>23 BIO</v>
      </c>
      <c r="F28" s="98" t="str">
        <f>'[1]Teacher Subject VERT'!I24</f>
        <v xml:space="preserve">53 MTK </v>
      </c>
      <c r="G28" s="98" t="str">
        <f>'[1]Teacher Subject VERT'!J24</f>
        <v>50 PKWU</v>
      </c>
      <c r="H28" s="98" t="str">
        <f>'[1]Teacher Subject VERT'!K24</f>
        <v>40 ENG</v>
      </c>
      <c r="I28" s="98" t="str">
        <f>'[1]Teacher Subject VERT'!L24</f>
        <v>34 GEO</v>
      </c>
      <c r="J28" s="98" t="str">
        <f>'[1]Teacher Subject VERT'!M24</f>
        <v>35 PAI</v>
      </c>
      <c r="K28" s="98" t="str">
        <f>'[1]Teacher Subject VERT'!N24</f>
        <v>45 SBD</v>
      </c>
      <c r="L28" s="98" t="str">
        <f>'[1]Teacher Subject VERT'!O24</f>
        <v>28 PKn</v>
      </c>
      <c r="M28" s="99" t="str">
        <f>'[1]Teacher Subject VERT'!P24</f>
        <v>32 PAI</v>
      </c>
      <c r="N28" s="100" t="str">
        <f>'[1]Teacher Subject VERT'!Q24</f>
        <v>24 PKn</v>
      </c>
      <c r="O28" s="101" t="str">
        <f>'[1]Teacher Subject VERT'!R24</f>
        <v>9 B.IND</v>
      </c>
      <c r="P28" s="101" t="str">
        <f>'[1]Teacher Subject VERT'!S24</f>
        <v>38 PKWU</v>
      </c>
      <c r="Q28" s="101" t="str">
        <f>'[1]Teacher Subject VERT'!T24</f>
        <v>29 BIO</v>
      </c>
      <c r="R28" s="102" t="str">
        <f>'[1]Teacher Subject VERT'!U24</f>
        <v>48 INF</v>
      </c>
      <c r="S28" s="103" t="str">
        <f>'[1]Teacher Subject VERT'!V24</f>
        <v>52 ENG</v>
      </c>
      <c r="T28" s="104" t="str">
        <f>'[1]Teacher Subject VERT'!W24</f>
        <v>37 SEJ</v>
      </c>
      <c r="U28" s="104" t="str">
        <f>'[1]Teacher Subject VERT'!X24</f>
        <v>51 B.IND</v>
      </c>
      <c r="V28" s="104" t="str">
        <f>'[1]Teacher Subject VERT'!Y24</f>
        <v>33 EKO</v>
      </c>
      <c r="W28" s="105" t="str">
        <f>'[1]Teacher Subject VERT'!Z24</f>
        <v>31 PKn</v>
      </c>
      <c r="X28" s="106" t="str">
        <f>'[1]Teacher Subject VERT'!AA24</f>
        <v>27 PKWU</v>
      </c>
      <c r="Y28" s="107" t="str">
        <f>'[1]Teacher Subject VERT'!AB24</f>
        <v>47 SBD</v>
      </c>
      <c r="Z28" s="108" t="str">
        <f>'[1]Teacher Subject VERT'!AC24</f>
        <v>13 SEJ</v>
      </c>
      <c r="AA28" s="109" t="str">
        <f>'[1]Teacher Subject VERT'!AD24</f>
        <v>5 ENG</v>
      </c>
      <c r="AB28" s="110" t="str">
        <f>'[1]Teacher Subject VERT'!AE24</f>
        <v>2 FSK</v>
      </c>
      <c r="AC28" s="111" t="str">
        <f>'[1]Teacher Subject VERT'!AF24</f>
        <v>3 B.IND</v>
      </c>
      <c r="AD28" s="146" t="str">
        <f>'[1]Teacher Subject VERT'!AG24</f>
        <v>49 GEO</v>
      </c>
      <c r="AE28" s="113" t="str">
        <f>'[1]Teacher Subject VERT'!AH24</f>
        <v>6 SOS</v>
      </c>
      <c r="AF28" s="113" t="str">
        <f>'[1]Teacher Subject VERT'!AI24</f>
        <v>15 BIO</v>
      </c>
      <c r="AG28" s="114" t="str">
        <f>'[1]Teacher Subject VERT'!AJ24</f>
        <v>54 EKO</v>
      </c>
      <c r="AH28" s="141"/>
    </row>
    <row r="29" spans="1:34" s="133" customFormat="1" ht="4.5" customHeight="1" x14ac:dyDescent="0.2">
      <c r="A29" s="12"/>
      <c r="B29" s="95" t="s">
        <v>66</v>
      </c>
      <c r="C29" s="157">
        <v>9</v>
      </c>
      <c r="D29" s="97" t="str">
        <f>'[1]Teacher Subject VERT'!G25</f>
        <v xml:space="preserve"> </v>
      </c>
      <c r="E29" s="98" t="str">
        <f>'[1]Teacher Subject VERT'!H25</f>
        <v xml:space="preserve"> </v>
      </c>
      <c r="F29" s="98" t="str">
        <f>'[1]Teacher Subject VERT'!I25</f>
        <v xml:space="preserve"> </v>
      </c>
      <c r="G29" s="98" t="str">
        <f>'[1]Teacher Subject VERT'!J25</f>
        <v xml:space="preserve"> </v>
      </c>
      <c r="H29" s="98" t="str">
        <f>'[1]Teacher Subject VERT'!K25</f>
        <v xml:space="preserve"> </v>
      </c>
      <c r="I29" s="98" t="str">
        <f>'[1]Teacher Subject VERT'!L25</f>
        <v xml:space="preserve"> </v>
      </c>
      <c r="J29" s="98" t="str">
        <f>'[1]Teacher Subject VERT'!M25</f>
        <v xml:space="preserve"> </v>
      </c>
      <c r="K29" s="98" t="str">
        <f>'[1]Teacher Subject VERT'!N25</f>
        <v xml:space="preserve"> </v>
      </c>
      <c r="L29" s="98" t="str">
        <f>'[1]Teacher Subject VERT'!O25</f>
        <v xml:space="preserve"> </v>
      </c>
      <c r="M29" s="99" t="str">
        <f>'[1]Teacher Subject VERT'!P25</f>
        <v xml:space="preserve"> </v>
      </c>
      <c r="N29" s="100" t="str">
        <f>'[1]Teacher Subject VERT'!Q25</f>
        <v xml:space="preserve"> </v>
      </c>
      <c r="O29" s="101" t="str">
        <f>'[1]Teacher Subject VERT'!R25</f>
        <v xml:space="preserve"> </v>
      </c>
      <c r="P29" s="101" t="str">
        <f>'[1]Teacher Subject VERT'!S25</f>
        <v xml:space="preserve"> </v>
      </c>
      <c r="Q29" s="101" t="str">
        <f>'[1]Teacher Subject VERT'!T25</f>
        <v xml:space="preserve"> </v>
      </c>
      <c r="R29" s="102" t="str">
        <f>'[1]Teacher Subject VERT'!U25</f>
        <v xml:space="preserve"> </v>
      </c>
      <c r="S29" s="103" t="str">
        <f>'[1]Teacher Subject VERT'!V25</f>
        <v xml:space="preserve"> </v>
      </c>
      <c r="T29" s="104" t="str">
        <f>'[1]Teacher Subject VERT'!W25</f>
        <v xml:space="preserve"> </v>
      </c>
      <c r="U29" s="104" t="str">
        <f>'[1]Teacher Subject VERT'!X25</f>
        <v xml:space="preserve"> </v>
      </c>
      <c r="V29" s="104" t="str">
        <f>'[1]Teacher Subject VERT'!Y25</f>
        <v xml:space="preserve"> </v>
      </c>
      <c r="W29" s="105" t="str">
        <f>'[1]Teacher Subject VERT'!Z25</f>
        <v xml:space="preserve"> </v>
      </c>
      <c r="X29" s="106" t="str">
        <f>'[1]Teacher Subject VERT'!AA25</f>
        <v xml:space="preserve"> </v>
      </c>
      <c r="Y29" s="107" t="str">
        <f>'[1]Teacher Subject VERT'!AB25</f>
        <v xml:space="preserve"> </v>
      </c>
      <c r="Z29" s="108" t="str">
        <f>'[1]Teacher Subject VERT'!AC25</f>
        <v xml:space="preserve"> </v>
      </c>
      <c r="AA29" s="109" t="str">
        <f>'[1]Teacher Subject VERT'!AD25</f>
        <v xml:space="preserve"> </v>
      </c>
      <c r="AB29" s="110" t="str">
        <f>'[1]Teacher Subject VERT'!AE25</f>
        <v xml:space="preserve"> </v>
      </c>
      <c r="AC29" s="111" t="str">
        <f>'[1]Teacher Subject VERT'!AF25</f>
        <v xml:space="preserve"> </v>
      </c>
      <c r="AD29" s="146" t="str">
        <f>'[1]Teacher Subject VERT'!AG25</f>
        <v xml:space="preserve"> </v>
      </c>
      <c r="AE29" s="113" t="str">
        <f>'[1]Teacher Subject VERT'!AH25</f>
        <v xml:space="preserve"> </v>
      </c>
      <c r="AF29" s="113" t="str">
        <f>'[1]Teacher Subject VERT'!AI25</f>
        <v xml:space="preserve"> </v>
      </c>
      <c r="AG29" s="114" t="str">
        <f>'[1]Teacher Subject VERT'!AJ25</f>
        <v xml:space="preserve"> </v>
      </c>
      <c r="AH29" s="141"/>
    </row>
    <row r="30" spans="1:34" s="133" customFormat="1" ht="0.75" customHeight="1" thickBot="1" x14ac:dyDescent="0.25">
      <c r="A30" s="12"/>
      <c r="B30" s="95" t="s">
        <v>67</v>
      </c>
      <c r="C30" s="157">
        <v>10</v>
      </c>
      <c r="D30" s="115" t="str">
        <f>'[1]Teacher Subject VERT'!G26</f>
        <v xml:space="preserve"> </v>
      </c>
      <c r="E30" s="116" t="str">
        <f>'[1]Teacher Subject VERT'!H26</f>
        <v xml:space="preserve"> </v>
      </c>
      <c r="F30" s="116" t="str">
        <f>'[1]Teacher Subject VERT'!I26</f>
        <v xml:space="preserve"> </v>
      </c>
      <c r="G30" s="116" t="str">
        <f>'[1]Teacher Subject VERT'!J26</f>
        <v xml:space="preserve"> </v>
      </c>
      <c r="H30" s="116" t="str">
        <f>'[1]Teacher Subject VERT'!K26</f>
        <v xml:space="preserve"> </v>
      </c>
      <c r="I30" s="116" t="str">
        <f>'[1]Teacher Subject VERT'!L26</f>
        <v xml:space="preserve"> </v>
      </c>
      <c r="J30" s="116" t="str">
        <f>'[1]Teacher Subject VERT'!M26</f>
        <v xml:space="preserve"> </v>
      </c>
      <c r="K30" s="116" t="str">
        <f>'[1]Teacher Subject VERT'!N26</f>
        <v xml:space="preserve"> </v>
      </c>
      <c r="L30" s="116" t="str">
        <f>'[1]Teacher Subject VERT'!O26</f>
        <v xml:space="preserve"> </v>
      </c>
      <c r="M30" s="117" t="str">
        <f>'[1]Teacher Subject VERT'!P26</f>
        <v xml:space="preserve"> </v>
      </c>
      <c r="N30" s="118" t="str">
        <f>'[1]Teacher Subject VERT'!Q26</f>
        <v xml:space="preserve"> </v>
      </c>
      <c r="O30" s="119" t="str">
        <f>'[1]Teacher Subject VERT'!R26</f>
        <v xml:space="preserve"> </v>
      </c>
      <c r="P30" s="119" t="str">
        <f>'[1]Teacher Subject VERT'!S26</f>
        <v xml:space="preserve"> </v>
      </c>
      <c r="Q30" s="119" t="str">
        <f>'[1]Teacher Subject VERT'!T26</f>
        <v xml:space="preserve"> </v>
      </c>
      <c r="R30" s="120" t="str">
        <f>'[1]Teacher Subject VERT'!U26</f>
        <v xml:space="preserve"> </v>
      </c>
      <c r="S30" s="121" t="str">
        <f>'[1]Teacher Subject VERT'!V26</f>
        <v xml:space="preserve"> </v>
      </c>
      <c r="T30" s="122" t="str">
        <f>'[1]Teacher Subject VERT'!W26</f>
        <v xml:space="preserve"> </v>
      </c>
      <c r="U30" s="122" t="str">
        <f>'[1]Teacher Subject VERT'!X26</f>
        <v xml:space="preserve"> </v>
      </c>
      <c r="V30" s="122" t="str">
        <f>'[1]Teacher Subject VERT'!Y26</f>
        <v xml:space="preserve"> </v>
      </c>
      <c r="W30" s="123" t="str">
        <f>'[1]Teacher Subject VERT'!Z26</f>
        <v xml:space="preserve"> </v>
      </c>
      <c r="X30" s="124" t="str">
        <f>'[1]Teacher Subject VERT'!AA26</f>
        <v xml:space="preserve"> </v>
      </c>
      <c r="Y30" s="125" t="str">
        <f>'[1]Teacher Subject VERT'!AB26</f>
        <v xml:space="preserve"> </v>
      </c>
      <c r="Z30" s="126" t="str">
        <f>'[1]Teacher Subject VERT'!AC26</f>
        <v xml:space="preserve"> </v>
      </c>
      <c r="AA30" s="127" t="str">
        <f>'[1]Teacher Subject VERT'!AD26</f>
        <v xml:space="preserve"> </v>
      </c>
      <c r="AB30" s="128" t="str">
        <f>'[1]Teacher Subject VERT'!AE26</f>
        <v xml:space="preserve"> </v>
      </c>
      <c r="AC30" s="129" t="str">
        <f>'[1]Teacher Subject VERT'!AF26</f>
        <v xml:space="preserve"> </v>
      </c>
      <c r="AD30" s="143" t="str">
        <f>'[1]Teacher Subject VERT'!AG26</f>
        <v xml:space="preserve"> </v>
      </c>
      <c r="AE30" s="131" t="str">
        <f>'[1]Teacher Subject VERT'!AH26</f>
        <v xml:space="preserve"> </v>
      </c>
      <c r="AF30" s="131" t="str">
        <f>'[1]Teacher Subject VERT'!AI26</f>
        <v xml:space="preserve"> </v>
      </c>
      <c r="AG30" s="132" t="str">
        <f>'[1]Teacher Subject VERT'!AJ26</f>
        <v xml:space="preserve"> </v>
      </c>
      <c r="AH30" s="141"/>
    </row>
    <row r="31" spans="1:34" s="133" customFormat="1" ht="7.5" hidden="1" customHeight="1" x14ac:dyDescent="0.2">
      <c r="A31" s="45"/>
      <c r="B31" s="149" t="s">
        <v>56</v>
      </c>
      <c r="C31" s="161"/>
      <c r="D31" s="162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4"/>
      <c r="AH31" s="141"/>
    </row>
    <row r="32" spans="1:34" s="150" customFormat="1" ht="20.100000000000001" customHeight="1" thickBot="1" x14ac:dyDescent="0.25">
      <c r="A32" s="151"/>
      <c r="B32" s="152"/>
      <c r="C32" s="153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25"/>
    </row>
    <row r="33" spans="1:34" s="133" customFormat="1" ht="20.100000000000001" customHeight="1" x14ac:dyDescent="0.2">
      <c r="A33" s="4" t="s">
        <v>68</v>
      </c>
      <c r="B33" s="155" t="s">
        <v>29</v>
      </c>
      <c r="C33" s="165">
        <v>1</v>
      </c>
      <c r="D33" s="166" t="str">
        <f>'[1]Teacher Subject VERT'!G27</f>
        <v>25 INF</v>
      </c>
      <c r="E33" s="77" t="str">
        <f>'[1]Teacher Subject VERT'!H27</f>
        <v>30 KIM</v>
      </c>
      <c r="F33" s="77" t="str">
        <f>'[1]Teacher Subject VERT'!I27</f>
        <v>34 SOS</v>
      </c>
      <c r="G33" s="77" t="str">
        <f>'[1]Teacher Subject VERT'!J27</f>
        <v>39 PJOK</v>
      </c>
      <c r="H33" s="77" t="str">
        <f>'[1]Teacher Subject VERT'!K27</f>
        <v>47 SBD</v>
      </c>
      <c r="I33" s="77" t="str">
        <f>'[1]Teacher Subject VERT'!L27</f>
        <v>11 SOS</v>
      </c>
      <c r="J33" s="77" t="str">
        <f>'[1]Teacher Subject VERT'!M27</f>
        <v>40 ENG</v>
      </c>
      <c r="K33" s="77" t="str">
        <f>'[1]Teacher Subject VERT'!N27</f>
        <v>35 PAI</v>
      </c>
      <c r="L33" s="77" t="str">
        <f>'[1]Teacher Subject VERT'!O27</f>
        <v>56 BIO</v>
      </c>
      <c r="M33" s="78" t="str">
        <f>'[1]Teacher Subject VERT'!P27</f>
        <v>33 EKO</v>
      </c>
      <c r="N33" s="79" t="str">
        <f>'[1]Teacher Subject VERT'!Q27</f>
        <v>10 PAI</v>
      </c>
      <c r="O33" s="80" t="str">
        <f>'[1]Teacher Subject VERT'!R27</f>
        <v>15 BIO</v>
      </c>
      <c r="P33" s="80" t="str">
        <f>'[1]Teacher Subject VERT'!S27</f>
        <v>13 SEJ</v>
      </c>
      <c r="Q33" s="80" t="str">
        <f>'[1]Teacher Subject VERT'!T27</f>
        <v>38 PKWU</v>
      </c>
      <c r="R33" s="81" t="str">
        <f>'[1]Teacher Subject VERT'!U27</f>
        <v>27 PKWU</v>
      </c>
      <c r="S33" s="82" t="str">
        <f>'[1]Teacher Subject VERT'!V27</f>
        <v>41 PAI</v>
      </c>
      <c r="T33" s="83" t="str">
        <f>'[1]Teacher Subject VERT'!W27</f>
        <v>45 SBD</v>
      </c>
      <c r="U33" s="83" t="str">
        <f>'[1]Teacher Subject VERT'!X27</f>
        <v>49 GEO</v>
      </c>
      <c r="V33" s="83" t="str">
        <f>'[1]Teacher Subject VERT'!Y27</f>
        <v>31 PKn</v>
      </c>
      <c r="W33" s="84" t="str">
        <f>'[1]Teacher Subject VERT'!Z27</f>
        <v xml:space="preserve">43 MTK </v>
      </c>
      <c r="X33" s="85" t="str">
        <f>'[1]Teacher Subject VERT'!AA27</f>
        <v>26 PJOK</v>
      </c>
      <c r="Y33" s="86" t="str">
        <f>'[1]Teacher Subject VERT'!AB27</f>
        <v>5 ENG</v>
      </c>
      <c r="Z33" s="87" t="str">
        <f>'[1]Teacher Subject VERT'!AC27</f>
        <v>16 KIM</v>
      </c>
      <c r="AA33" s="88" t="str">
        <f>'[1]Teacher Subject VERT'!AD27</f>
        <v>17 PKn</v>
      </c>
      <c r="AB33" s="89" t="str">
        <f>'[1]Teacher Subject VERT'!AE27</f>
        <v>4 BIO</v>
      </c>
      <c r="AC33" s="90" t="str">
        <f>'[1]Teacher Subject VERT'!AF27</f>
        <v>55 MTL</v>
      </c>
      <c r="AD33" s="140" t="str">
        <f>'[1]Teacher Subject VERT'!AG27</f>
        <v>3 B.IND</v>
      </c>
      <c r="AE33" s="92" t="str">
        <f>'[1]Teacher Subject VERT'!AH27</f>
        <v>54 EKO</v>
      </c>
      <c r="AF33" s="92" t="str">
        <f>'[1]Teacher Subject VERT'!AI27</f>
        <v>6 SOS</v>
      </c>
      <c r="AG33" s="93" t="str">
        <f>'[1]Teacher Subject VERT'!AJ27</f>
        <v xml:space="preserve">22 MTK </v>
      </c>
      <c r="AH33" s="141"/>
    </row>
    <row r="34" spans="1:34" s="133" customFormat="1" ht="20.100000000000001" customHeight="1" x14ac:dyDescent="0.2">
      <c r="A34" s="12"/>
      <c r="B34" s="95" t="s">
        <v>32</v>
      </c>
      <c r="C34" s="138">
        <v>2</v>
      </c>
      <c r="D34" s="167" t="str">
        <f>'[1]Teacher Subject VERT'!G28</f>
        <v>25 INF</v>
      </c>
      <c r="E34" s="98" t="str">
        <f>'[1]Teacher Subject VERT'!H28</f>
        <v>30 KIM</v>
      </c>
      <c r="F34" s="98" t="str">
        <f>'[1]Teacher Subject VERT'!I28</f>
        <v>34 SOS</v>
      </c>
      <c r="G34" s="98" t="str">
        <f>'[1]Teacher Subject VERT'!J28</f>
        <v>39 PJOK</v>
      </c>
      <c r="H34" s="98" t="str">
        <f>'[1]Teacher Subject VERT'!K28</f>
        <v>47 SBD</v>
      </c>
      <c r="I34" s="98" t="str">
        <f>'[1]Teacher Subject VERT'!L28</f>
        <v>11 SOS</v>
      </c>
      <c r="J34" s="98" t="str">
        <f>'[1]Teacher Subject VERT'!M28</f>
        <v>40 ENG</v>
      </c>
      <c r="K34" s="98" t="str">
        <f>'[1]Teacher Subject VERT'!N28</f>
        <v>35 PAI</v>
      </c>
      <c r="L34" s="98" t="str">
        <f>'[1]Teacher Subject VERT'!O28</f>
        <v>56 BIO</v>
      </c>
      <c r="M34" s="99" t="str">
        <f>'[1]Teacher Subject VERT'!P28</f>
        <v>33 EKO</v>
      </c>
      <c r="N34" s="100" t="str">
        <f>'[1]Teacher Subject VERT'!Q28</f>
        <v>10 PAI</v>
      </c>
      <c r="O34" s="101" t="str">
        <f>'[1]Teacher Subject VERT'!R28</f>
        <v>15 BIO</v>
      </c>
      <c r="P34" s="101" t="str">
        <f>'[1]Teacher Subject VERT'!S28</f>
        <v>13 SEJ</v>
      </c>
      <c r="Q34" s="101" t="str">
        <f>'[1]Teacher Subject VERT'!T28</f>
        <v>38 PKWU</v>
      </c>
      <c r="R34" s="102" t="str">
        <f>'[1]Teacher Subject VERT'!U28</f>
        <v>27 PKWU</v>
      </c>
      <c r="S34" s="103" t="str">
        <f>'[1]Teacher Subject VERT'!V28</f>
        <v>41 PAI</v>
      </c>
      <c r="T34" s="104" t="str">
        <f>'[1]Teacher Subject VERT'!W28</f>
        <v>45 SBD</v>
      </c>
      <c r="U34" s="104" t="str">
        <f>'[1]Teacher Subject VERT'!X28</f>
        <v>49 GEO</v>
      </c>
      <c r="V34" s="104" t="str">
        <f>'[1]Teacher Subject VERT'!Y28</f>
        <v>31 PKn</v>
      </c>
      <c r="W34" s="105" t="str">
        <f>'[1]Teacher Subject VERT'!Z28</f>
        <v xml:space="preserve">43 MTK </v>
      </c>
      <c r="X34" s="106" t="str">
        <f>'[1]Teacher Subject VERT'!AA28</f>
        <v>26 PJOK</v>
      </c>
      <c r="Y34" s="107" t="str">
        <f>'[1]Teacher Subject VERT'!AB28</f>
        <v>5 ENG</v>
      </c>
      <c r="Z34" s="108" t="str">
        <f>'[1]Teacher Subject VERT'!AC28</f>
        <v>16 KIM</v>
      </c>
      <c r="AA34" s="109" t="str">
        <f>'[1]Teacher Subject VERT'!AD28</f>
        <v>17 PKn</v>
      </c>
      <c r="AB34" s="110" t="str">
        <f>'[1]Teacher Subject VERT'!AE28</f>
        <v>4 BIO</v>
      </c>
      <c r="AC34" s="111" t="str">
        <f>'[1]Teacher Subject VERT'!AF28</f>
        <v>55 MTL</v>
      </c>
      <c r="AD34" s="146" t="str">
        <f>'[1]Teacher Subject VERT'!AG28</f>
        <v>3 B.IND</v>
      </c>
      <c r="AE34" s="113" t="str">
        <f>'[1]Teacher Subject VERT'!AH28</f>
        <v>54 EKO</v>
      </c>
      <c r="AF34" s="113" t="str">
        <f>'[1]Teacher Subject VERT'!AI28</f>
        <v>6 SOS</v>
      </c>
      <c r="AG34" s="114" t="str">
        <f>'[1]Teacher Subject VERT'!AJ28</f>
        <v xml:space="preserve">22 MTK </v>
      </c>
      <c r="AH34" s="141"/>
    </row>
    <row r="35" spans="1:34" s="133" customFormat="1" ht="20.100000000000001" customHeight="1" x14ac:dyDescent="0.2">
      <c r="A35" s="12"/>
      <c r="B35" s="95" t="s">
        <v>34</v>
      </c>
      <c r="C35" s="138">
        <v>3</v>
      </c>
      <c r="D35" s="167" t="str">
        <f>'[1]Teacher Subject VERT'!G29</f>
        <v>23 BIO</v>
      </c>
      <c r="E35" s="98" t="str">
        <f>'[1]Teacher Subject VERT'!H29</f>
        <v>30 KIM</v>
      </c>
      <c r="F35" s="98" t="str">
        <f>'[1]Teacher Subject VERT'!I29</f>
        <v>52 ENG</v>
      </c>
      <c r="G35" s="98" t="str">
        <f>'[1]Teacher Subject VERT'!J29</f>
        <v>39 PJOK</v>
      </c>
      <c r="H35" s="98" t="str">
        <f>'[1]Teacher Subject VERT'!K29</f>
        <v>17 PKn</v>
      </c>
      <c r="I35" s="98" t="str">
        <f>'[1]Teacher Subject VERT'!L29</f>
        <v>14 FSK</v>
      </c>
      <c r="J35" s="98" t="str">
        <f>'[1]Teacher Subject VERT'!M29</f>
        <v>40 ENG</v>
      </c>
      <c r="K35" s="98" t="str">
        <f>'[1]Teacher Subject VERT'!N29</f>
        <v>28 PKn</v>
      </c>
      <c r="L35" s="98" t="str">
        <f>'[1]Teacher Subject VERT'!O29</f>
        <v>56 BIO</v>
      </c>
      <c r="M35" s="99" t="str">
        <f>'[1]Teacher Subject VERT'!P29</f>
        <v>33 EKO</v>
      </c>
      <c r="N35" s="100" t="str">
        <f>'[1]Teacher Subject VERT'!Q29</f>
        <v>10 PAI</v>
      </c>
      <c r="O35" s="101" t="str">
        <f>'[1]Teacher Subject VERT'!R29</f>
        <v>54 EKO</v>
      </c>
      <c r="P35" s="101" t="str">
        <f>'[1]Teacher Subject VERT'!S29</f>
        <v>50 PJOK</v>
      </c>
      <c r="Q35" s="101" t="str">
        <f>'[1]Teacher Subject VERT'!T29</f>
        <v>24 PKn</v>
      </c>
      <c r="R35" s="102" t="str">
        <f>'[1]Teacher Subject VERT'!U29</f>
        <v xml:space="preserve">55 MTK </v>
      </c>
      <c r="S35" s="103" t="str">
        <f>'[1]Teacher Subject VERT'!V29</f>
        <v>41 PAI</v>
      </c>
      <c r="T35" s="104" t="str">
        <f>'[1]Teacher Subject VERT'!W29</f>
        <v>34 SOS</v>
      </c>
      <c r="U35" s="104" t="str">
        <f>'[1]Teacher Subject VERT'!X29</f>
        <v>36 ENG</v>
      </c>
      <c r="V35" s="104" t="str">
        <f>'[1]Teacher Subject VERT'!Y29</f>
        <v>45 SBD</v>
      </c>
      <c r="W35" s="105" t="str">
        <f>'[1]Teacher Subject VERT'!Z29</f>
        <v xml:space="preserve">43 MTK </v>
      </c>
      <c r="X35" s="106" t="str">
        <f>'[1]Teacher Subject VERT'!AA29</f>
        <v>26 PJOK</v>
      </c>
      <c r="Y35" s="107" t="str">
        <f>'[1]Teacher Subject VERT'!AB29</f>
        <v>2 FSK</v>
      </c>
      <c r="Z35" s="108" t="str">
        <f>'[1]Teacher Subject VERT'!AC29</f>
        <v>7 PAI</v>
      </c>
      <c r="AA35" s="109" t="str">
        <f>'[1]Teacher Subject VERT'!AD29</f>
        <v>16 KIM</v>
      </c>
      <c r="AB35" s="110" t="str">
        <f>'[1]Teacher Subject VERT'!AE29</f>
        <v>4 BIO</v>
      </c>
      <c r="AC35" s="111" t="str">
        <f>'[1]Teacher Subject VERT'!AF29</f>
        <v>27 PKWU</v>
      </c>
      <c r="AD35" s="146" t="str">
        <f>'[1]Teacher Subject VERT'!AG29</f>
        <v>3 B.IND</v>
      </c>
      <c r="AE35" s="113" t="str">
        <f>'[1]Teacher Subject VERT'!AH29</f>
        <v>49 GEO</v>
      </c>
      <c r="AF35" s="113" t="str">
        <f>'[1]Teacher Subject VERT'!AI29</f>
        <v>25 INF</v>
      </c>
      <c r="AG35" s="114" t="str">
        <f>'[1]Teacher Subject VERT'!AJ29</f>
        <v xml:space="preserve">22 MTK </v>
      </c>
      <c r="AH35" s="141"/>
    </row>
    <row r="36" spans="1:34" s="133" customFormat="1" ht="20.100000000000001" customHeight="1" thickBot="1" x14ac:dyDescent="0.25">
      <c r="A36" s="12"/>
      <c r="B36" s="95" t="s">
        <v>36</v>
      </c>
      <c r="C36" s="138">
        <v>4</v>
      </c>
      <c r="D36" s="168" t="str">
        <f>'[1]Teacher Subject VERT'!G30</f>
        <v>23 BIO</v>
      </c>
      <c r="E36" s="116" t="str">
        <f>'[1]Teacher Subject VERT'!H30</f>
        <v>38 PKWU</v>
      </c>
      <c r="F36" s="116" t="str">
        <f>'[1]Teacher Subject VERT'!I30</f>
        <v>52 ENG</v>
      </c>
      <c r="G36" s="116" t="str">
        <f>'[1]Teacher Subject VERT'!J30</f>
        <v>3 B.IND</v>
      </c>
      <c r="H36" s="116" t="str">
        <f>'[1]Teacher Subject VERT'!K30</f>
        <v>17 PKn</v>
      </c>
      <c r="I36" s="116" t="str">
        <f>'[1]Teacher Subject VERT'!L30</f>
        <v>14 FSK</v>
      </c>
      <c r="J36" s="116" t="str">
        <f>'[1]Teacher Subject VERT'!M30</f>
        <v>11 SOS</v>
      </c>
      <c r="K36" s="116" t="str">
        <f>'[1]Teacher Subject VERT'!N30</f>
        <v>28 PKn</v>
      </c>
      <c r="L36" s="116" t="str">
        <f>'[1]Teacher Subject VERT'!O30</f>
        <v>35 PAI</v>
      </c>
      <c r="M36" s="117" t="str">
        <f>'[1]Teacher Subject VERT'!P30</f>
        <v>39 PJOK</v>
      </c>
      <c r="N36" s="118" t="str">
        <f>'[1]Teacher Subject VERT'!Q30</f>
        <v>15 BIO</v>
      </c>
      <c r="O36" s="119" t="str">
        <f>'[1]Teacher Subject VERT'!R30</f>
        <v>54 EKO</v>
      </c>
      <c r="P36" s="119" t="str">
        <f>'[1]Teacher Subject VERT'!S30</f>
        <v>50 PJOK</v>
      </c>
      <c r="Q36" s="119" t="str">
        <f>'[1]Teacher Subject VERT'!T30</f>
        <v>24 PKn</v>
      </c>
      <c r="R36" s="120" t="str">
        <f>'[1]Teacher Subject VERT'!U30</f>
        <v xml:space="preserve">55 MTK </v>
      </c>
      <c r="S36" s="121" t="str">
        <f>'[1]Teacher Subject VERT'!V30</f>
        <v>31 GEO</v>
      </c>
      <c r="T36" s="122" t="str">
        <f>'[1]Teacher Subject VERT'!W30</f>
        <v>34 SOS</v>
      </c>
      <c r="U36" s="122" t="str">
        <f>'[1]Teacher Subject VERT'!X30</f>
        <v>36 ENG</v>
      </c>
      <c r="V36" s="122" t="str">
        <f>'[1]Teacher Subject VERT'!Y30</f>
        <v>45 SBD</v>
      </c>
      <c r="W36" s="123" t="str">
        <f>'[1]Teacher Subject VERT'!Z30</f>
        <v>47 SBD</v>
      </c>
      <c r="X36" s="124" t="str">
        <f>'[1]Teacher Subject VERT'!AA30</f>
        <v>43 MTL</v>
      </c>
      <c r="Y36" s="125" t="str">
        <f>'[1]Teacher Subject VERT'!AB30</f>
        <v>2 FSK</v>
      </c>
      <c r="Z36" s="126" t="str">
        <f>'[1]Teacher Subject VERT'!AC30</f>
        <v>7 PAI</v>
      </c>
      <c r="AA36" s="127" t="str">
        <f>'[1]Teacher Subject VERT'!AD30</f>
        <v>16 KIM</v>
      </c>
      <c r="AB36" s="128" t="str">
        <f>'[1]Teacher Subject VERT'!AE30</f>
        <v>26 PJOK</v>
      </c>
      <c r="AC36" s="129" t="str">
        <f>'[1]Teacher Subject VERT'!AF30</f>
        <v>27 PKWU</v>
      </c>
      <c r="AD36" s="143" t="str">
        <f>'[1]Teacher Subject VERT'!AG30</f>
        <v>5 ENG</v>
      </c>
      <c r="AE36" s="131" t="str">
        <f>'[1]Teacher Subject VERT'!AH30</f>
        <v>49 GEO</v>
      </c>
      <c r="AF36" s="131" t="str">
        <f>'[1]Teacher Subject VERT'!AI30</f>
        <v>25 INF</v>
      </c>
      <c r="AG36" s="132" t="str">
        <f>'[1]Teacher Subject VERT'!AJ30</f>
        <v>6 SOS</v>
      </c>
      <c r="AH36" s="141"/>
    </row>
    <row r="37" spans="1:34" s="133" customFormat="1" ht="20.100000000000001" customHeight="1" thickBot="1" x14ac:dyDescent="0.25">
      <c r="A37" s="12"/>
      <c r="B37" s="95" t="s">
        <v>38</v>
      </c>
      <c r="C37" s="134" t="s">
        <v>69</v>
      </c>
      <c r="D37" s="135" t="s">
        <v>40</v>
      </c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7"/>
      <c r="AH37" s="160"/>
    </row>
    <row r="38" spans="1:34" s="133" customFormat="1" ht="20.100000000000001" customHeight="1" x14ac:dyDescent="0.2">
      <c r="A38" s="12"/>
      <c r="B38" s="95" t="s">
        <v>42</v>
      </c>
      <c r="C38" s="138">
        <v>5</v>
      </c>
      <c r="D38" s="166" t="str">
        <f>'[1]Teacher Subject VERT'!G31</f>
        <v>23 BIO</v>
      </c>
      <c r="E38" s="77" t="str">
        <f>'[1]Teacher Subject VERT'!H31</f>
        <v>38 PKWU</v>
      </c>
      <c r="F38" s="77" t="str">
        <f>'[1]Teacher Subject VERT'!I31</f>
        <v>52 ENG</v>
      </c>
      <c r="G38" s="77" t="str">
        <f>'[1]Teacher Subject VERT'!J31</f>
        <v>3 B.IND</v>
      </c>
      <c r="H38" s="77" t="str">
        <f>'[1]Teacher Subject VERT'!K31</f>
        <v>33 EKO</v>
      </c>
      <c r="I38" s="77" t="str">
        <f>'[1]Teacher Subject VERT'!L31</f>
        <v>17 PKn</v>
      </c>
      <c r="J38" s="77" t="str">
        <f>'[1]Teacher Subject VERT'!M31</f>
        <v>11 SOS</v>
      </c>
      <c r="K38" s="77" t="str">
        <f>'[1]Teacher Subject VERT'!N31</f>
        <v>56 BIO</v>
      </c>
      <c r="L38" s="77" t="str">
        <f>'[1]Teacher Subject VERT'!O31</f>
        <v>35 PAI</v>
      </c>
      <c r="M38" s="78" t="str">
        <f>'[1]Teacher Subject VERT'!P31</f>
        <v>39 PJOK</v>
      </c>
      <c r="N38" s="79" t="str">
        <f>'[1]Teacher Subject VERT'!Q31</f>
        <v>15 BIO</v>
      </c>
      <c r="O38" s="80" t="str">
        <f>'[1]Teacher Subject VERT'!R31</f>
        <v>30 KIM</v>
      </c>
      <c r="P38" s="80" t="str">
        <f>'[1]Teacher Subject VERT'!S31</f>
        <v>50 PJOK</v>
      </c>
      <c r="Q38" s="80" t="str">
        <f>'[1]Teacher Subject VERT'!T31</f>
        <v>14 FSK</v>
      </c>
      <c r="R38" s="81" t="str">
        <f>'[1]Teacher Subject VERT'!U31</f>
        <v>49 KIM</v>
      </c>
      <c r="S38" s="82" t="str">
        <f>'[1]Teacher Subject VERT'!V31</f>
        <v>31 GEO</v>
      </c>
      <c r="T38" s="83" t="str">
        <f>'[1]Teacher Subject VERT'!W31</f>
        <v xml:space="preserve">55 MTK </v>
      </c>
      <c r="U38" s="83" t="str">
        <f>'[1]Teacher Subject VERT'!X31</f>
        <v>36 ENG</v>
      </c>
      <c r="V38" s="83" t="str">
        <f>'[1]Teacher Subject VERT'!Y31</f>
        <v>41 PAI</v>
      </c>
      <c r="W38" s="84" t="str">
        <f>'[1]Teacher Subject VERT'!Z31</f>
        <v>47 SBD</v>
      </c>
      <c r="X38" s="85" t="str">
        <f>'[1]Teacher Subject VERT'!AA31</f>
        <v>43 MTL</v>
      </c>
      <c r="Y38" s="86" t="str">
        <f>'[1]Teacher Subject VERT'!AB31</f>
        <v>2 FSK</v>
      </c>
      <c r="Z38" s="87" t="str">
        <f>'[1]Teacher Subject VERT'!AC31</f>
        <v>7 PAI</v>
      </c>
      <c r="AA38" s="88" t="str">
        <f>'[1]Teacher Subject VERT'!AD31</f>
        <v>27 PKWU</v>
      </c>
      <c r="AB38" s="89" t="str">
        <f>'[1]Teacher Subject VERT'!AE31</f>
        <v>26 PJOK</v>
      </c>
      <c r="AC38" s="90" t="str">
        <f>'[1]Teacher Subject VERT'!AF31</f>
        <v>16 KIM</v>
      </c>
      <c r="AD38" s="140" t="str">
        <f>'[1]Teacher Subject VERT'!AG31</f>
        <v>5 ENG</v>
      </c>
      <c r="AE38" s="92" t="str">
        <f>'[1]Teacher Subject VERT'!AH31</f>
        <v xml:space="preserve">22 MTK </v>
      </c>
      <c r="AF38" s="92" t="str">
        <f>'[1]Teacher Subject VERT'!AI31</f>
        <v>10 PAI</v>
      </c>
      <c r="AG38" s="93" t="str">
        <f>'[1]Teacher Subject VERT'!AJ31</f>
        <v>6 SOS</v>
      </c>
      <c r="AH38" s="141"/>
    </row>
    <row r="39" spans="1:34" s="133" customFormat="1" ht="20.100000000000001" customHeight="1" thickBot="1" x14ac:dyDescent="0.25">
      <c r="A39" s="12"/>
      <c r="B39" s="95" t="s">
        <v>44</v>
      </c>
      <c r="C39" s="138">
        <v>6</v>
      </c>
      <c r="D39" s="168" t="str">
        <f>'[1]Teacher Subject VERT'!G32</f>
        <v>31 GEO</v>
      </c>
      <c r="E39" s="116" t="str">
        <f>'[1]Teacher Subject VERT'!H32</f>
        <v>47 SBD</v>
      </c>
      <c r="F39" s="116" t="str">
        <f>'[1]Teacher Subject VERT'!I32</f>
        <v>28 SEJ</v>
      </c>
      <c r="G39" s="116" t="str">
        <f>'[1]Teacher Subject VERT'!J32</f>
        <v>34 SOS</v>
      </c>
      <c r="H39" s="116" t="str">
        <f>'[1]Teacher Subject VERT'!K32</f>
        <v>33 EKO</v>
      </c>
      <c r="I39" s="116" t="str">
        <f>'[1]Teacher Subject VERT'!L32</f>
        <v>17 PKn</v>
      </c>
      <c r="J39" s="116" t="str">
        <f>'[1]Teacher Subject VERT'!M32</f>
        <v>51 B.IND</v>
      </c>
      <c r="K39" s="116" t="str">
        <f>'[1]Teacher Subject VERT'!N32</f>
        <v>56 BIO</v>
      </c>
      <c r="L39" s="116" t="str">
        <f>'[1]Teacher Subject VERT'!O32</f>
        <v>50 PKWU</v>
      </c>
      <c r="M39" s="117" t="str">
        <f>'[1]Teacher Subject VERT'!P32</f>
        <v>39 PJOK</v>
      </c>
      <c r="N39" s="118" t="str">
        <f>'[1]Teacher Subject VERT'!Q32</f>
        <v>54 EKO</v>
      </c>
      <c r="O39" s="119" t="str">
        <f>'[1]Teacher Subject VERT'!R32</f>
        <v>30 KIM</v>
      </c>
      <c r="P39" s="119" t="str">
        <f>'[1]Teacher Subject VERT'!S32</f>
        <v>45 SBD</v>
      </c>
      <c r="Q39" s="119" t="str">
        <f>'[1]Teacher Subject VERT'!T32</f>
        <v>14 FSK</v>
      </c>
      <c r="R39" s="120" t="str">
        <f>'[1]Teacher Subject VERT'!U32</f>
        <v>49 KIM</v>
      </c>
      <c r="S39" s="121" t="str">
        <f>'[1]Teacher Subject VERT'!V32</f>
        <v>38 PKWU</v>
      </c>
      <c r="T39" s="122" t="str">
        <f>'[1]Teacher Subject VERT'!W32</f>
        <v xml:space="preserve">55 MTK </v>
      </c>
      <c r="U39" s="122" t="str">
        <f>'[1]Teacher Subject VERT'!X32</f>
        <v>11 SOS</v>
      </c>
      <c r="V39" s="122" t="str">
        <f>'[1]Teacher Subject VERT'!Y32</f>
        <v>41 PAI</v>
      </c>
      <c r="W39" s="123" t="str">
        <f>'[1]Teacher Subject VERT'!Z32</f>
        <v>35 PI</v>
      </c>
      <c r="X39" s="124" t="str">
        <f>'[1]Teacher Subject VERT'!AA32</f>
        <v>43 MTL</v>
      </c>
      <c r="Y39" s="125" t="str">
        <f>'[1]Teacher Subject VERT'!AB32</f>
        <v>13 SEJ</v>
      </c>
      <c r="Z39" s="126" t="str">
        <f>'[1]Teacher Subject VERT'!AC32</f>
        <v>25 INF</v>
      </c>
      <c r="AA39" s="127" t="str">
        <f>'[1]Teacher Subject VERT'!AD32</f>
        <v>27 PKWU</v>
      </c>
      <c r="AB39" s="128" t="str">
        <f>'[1]Teacher Subject VERT'!AE32</f>
        <v>26 PJOK</v>
      </c>
      <c r="AC39" s="129" t="str">
        <f>'[1]Teacher Subject VERT'!AF32</f>
        <v>16 KIM</v>
      </c>
      <c r="AD39" s="143" t="str">
        <f>'[1]Teacher Subject VERT'!AG32</f>
        <v>15 BIO</v>
      </c>
      <c r="AE39" s="131" t="str">
        <f>'[1]Teacher Subject VERT'!AH32</f>
        <v xml:space="preserve">22 MTK </v>
      </c>
      <c r="AF39" s="131" t="str">
        <f>'[1]Teacher Subject VERT'!AI32</f>
        <v>10 PAI</v>
      </c>
      <c r="AG39" s="132" t="str">
        <f>'[1]Teacher Subject VERT'!AJ32</f>
        <v>36 ENG</v>
      </c>
      <c r="AH39" s="141"/>
    </row>
    <row r="40" spans="1:34" s="133" customFormat="1" ht="20.100000000000001" customHeight="1" thickBot="1" x14ac:dyDescent="0.25">
      <c r="A40" s="12"/>
      <c r="B40" s="95" t="s">
        <v>46</v>
      </c>
      <c r="C40" s="134" t="s">
        <v>70</v>
      </c>
      <c r="D40" s="135" t="s">
        <v>48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7"/>
      <c r="AH40" s="72"/>
    </row>
    <row r="41" spans="1:34" s="133" customFormat="1" ht="20.100000000000001" customHeight="1" x14ac:dyDescent="0.2">
      <c r="A41" s="12"/>
      <c r="B41" s="95" t="s">
        <v>63</v>
      </c>
      <c r="C41" s="138">
        <v>7</v>
      </c>
      <c r="D41" s="76" t="str">
        <f>'[1]Teacher Subject VERT'!G33</f>
        <v>31 GEO</v>
      </c>
      <c r="E41" s="77" t="str">
        <f>'[1]Teacher Subject VERT'!H33</f>
        <v>47 SBD</v>
      </c>
      <c r="F41" s="77" t="str">
        <f>'[1]Teacher Subject VERT'!I33</f>
        <v>28 SEJ</v>
      </c>
      <c r="G41" s="77" t="str">
        <f>'[1]Teacher Subject VERT'!J33</f>
        <v>34 SOS</v>
      </c>
      <c r="H41" s="77" t="str">
        <f>'[1]Teacher Subject VERT'!K33</f>
        <v>33 EKO</v>
      </c>
      <c r="I41" s="77" t="str">
        <f>'[1]Teacher Subject VERT'!L33</f>
        <v>23 BIO</v>
      </c>
      <c r="J41" s="77" t="str">
        <f>'[1]Teacher Subject VERT'!M33</f>
        <v>51 B.IND</v>
      </c>
      <c r="K41" s="77" t="str">
        <f>'[1]Teacher Subject VERT'!N33</f>
        <v>56 BIO</v>
      </c>
      <c r="L41" s="77" t="str">
        <f>'[1]Teacher Subject VERT'!O33</f>
        <v>50 PKWU</v>
      </c>
      <c r="M41" s="78" t="str">
        <f>'[1]Teacher Subject VERT'!P33</f>
        <v>40 ENG</v>
      </c>
      <c r="N41" s="79" t="str">
        <f>'[1]Teacher Subject VERT'!Q33</f>
        <v>54 EKO</v>
      </c>
      <c r="O41" s="80" t="str">
        <f>'[1]Teacher Subject VERT'!R33</f>
        <v>30 KIM</v>
      </c>
      <c r="P41" s="80" t="str">
        <f>'[1]Teacher Subject VERT'!S33</f>
        <v>45 SBD</v>
      </c>
      <c r="Q41" s="80" t="str">
        <f>'[1]Teacher Subject VERT'!T33</f>
        <v>52 ENG</v>
      </c>
      <c r="R41" s="81" t="str">
        <f>'[1]Teacher Subject VERT'!U33</f>
        <v>49 KIM</v>
      </c>
      <c r="S41" s="82" t="str">
        <f>'[1]Teacher Subject VERT'!V33</f>
        <v>38 PKWU</v>
      </c>
      <c r="T41" s="83" t="str">
        <f>'[1]Teacher Subject VERT'!W33</f>
        <v xml:space="preserve">55 MTK </v>
      </c>
      <c r="U41" s="83" t="str">
        <f>'[1]Teacher Subject VERT'!X33</f>
        <v>11 SOS</v>
      </c>
      <c r="V41" s="83" t="str">
        <f>'[1]Teacher Subject VERT'!Y33</f>
        <v>41 PAI</v>
      </c>
      <c r="W41" s="84" t="str">
        <f>'[1]Teacher Subject VERT'!Z33</f>
        <v>35 PI</v>
      </c>
      <c r="X41" s="85" t="str">
        <f>'[1]Teacher Subject VERT'!AA33</f>
        <v>2 FSK</v>
      </c>
      <c r="Y41" s="86" t="str">
        <f>'[1]Teacher Subject VERT'!AB33</f>
        <v>13 SEJ</v>
      </c>
      <c r="Z41" s="87" t="str">
        <f>'[1]Teacher Subject VERT'!AC33</f>
        <v>25 INF</v>
      </c>
      <c r="AA41" s="88" t="str">
        <f>'[1]Teacher Subject VERT'!AD33</f>
        <v>6 SOS</v>
      </c>
      <c r="AB41" s="89" t="str">
        <f>'[1]Teacher Subject VERT'!AE33</f>
        <v>3 B.IND</v>
      </c>
      <c r="AC41" s="90" t="str">
        <f>'[1]Teacher Subject VERT'!AF33</f>
        <v>5 ENG</v>
      </c>
      <c r="AD41" s="91" t="str">
        <f>'[1]Teacher Subject VERT'!AG33</f>
        <v>15 BIO</v>
      </c>
      <c r="AE41" s="92" t="str">
        <f>'[1]Teacher Subject VERT'!AH33</f>
        <v xml:space="preserve">22 MTK </v>
      </c>
      <c r="AF41" s="92" t="str">
        <f>'[1]Teacher Subject VERT'!AI33</f>
        <v>10 PAI</v>
      </c>
      <c r="AG41" s="93" t="str">
        <f>'[1]Teacher Subject VERT'!AJ33</f>
        <v>36 ENG</v>
      </c>
      <c r="AH41" s="141"/>
    </row>
    <row r="42" spans="1:34" s="133" customFormat="1" ht="20.100000000000001" customHeight="1" x14ac:dyDescent="0.2">
      <c r="A42" s="12"/>
      <c r="B42" s="95" t="s">
        <v>65</v>
      </c>
      <c r="C42" s="169">
        <v>8</v>
      </c>
      <c r="D42" s="97" t="str">
        <f>'[1]Teacher Subject VERT'!G34</f>
        <v>34 SOS</v>
      </c>
      <c r="E42" s="98" t="str">
        <f>'[1]Teacher Subject VERT'!H34</f>
        <v>28 SEJ</v>
      </c>
      <c r="F42" s="98" t="str">
        <f>'[1]Teacher Subject VERT'!I34</f>
        <v>47 SBD</v>
      </c>
      <c r="G42" s="98" t="str">
        <f>'[1]Teacher Subject VERT'!J34</f>
        <v>14 FSK</v>
      </c>
      <c r="H42" s="98" t="str">
        <f>'[1]Teacher Subject VERT'!K34</f>
        <v>41 PAI</v>
      </c>
      <c r="I42" s="98" t="str">
        <f>'[1]Teacher Subject VERT'!L34</f>
        <v>23 BIO</v>
      </c>
      <c r="J42" s="98" t="str">
        <f>'[1]Teacher Subject VERT'!M34</f>
        <v>10 BTQ</v>
      </c>
      <c r="K42" s="98" t="str">
        <f>'[1]Teacher Subject VERT'!N34</f>
        <v>50 PKWU</v>
      </c>
      <c r="L42" s="98" t="str">
        <f>'[1]Teacher Subject VERT'!O34</f>
        <v>51 B.IND</v>
      </c>
      <c r="M42" s="99" t="str">
        <f>'[1]Teacher Subject VERT'!P34</f>
        <v>40 ENG</v>
      </c>
      <c r="N42" s="100" t="str">
        <f>'[1]Teacher Subject VERT'!Q34</f>
        <v>33 PI</v>
      </c>
      <c r="O42" s="101" t="str">
        <f>'[1]Teacher Subject VERT'!R34</f>
        <v>13 SEJ</v>
      </c>
      <c r="P42" s="101" t="str">
        <f>'[1]Teacher Subject VERT'!S34</f>
        <v>56 BIO</v>
      </c>
      <c r="Q42" s="101" t="str">
        <f>'[1]Teacher Subject VERT'!T34</f>
        <v>52 ENG</v>
      </c>
      <c r="R42" s="102" t="str">
        <f>'[1]Teacher Subject VERT'!U34</f>
        <v>24 PKn</v>
      </c>
      <c r="S42" s="103" t="str">
        <f>'[1]Teacher Subject VERT'!V34</f>
        <v>45 SBD</v>
      </c>
      <c r="T42" s="104" t="str">
        <f>'[1]Teacher Subject VERT'!W34</f>
        <v>38 PKWU</v>
      </c>
      <c r="U42" s="104" t="str">
        <f>'[1]Teacher Subject VERT'!X34</f>
        <v>35 PI</v>
      </c>
      <c r="V42" s="104" t="str">
        <f>'[1]Teacher Subject VERT'!Y34</f>
        <v>11 SOS</v>
      </c>
      <c r="W42" s="105" t="str">
        <f>'[1]Teacher Subject VERT'!Z34</f>
        <v>49 GEO</v>
      </c>
      <c r="X42" s="106" t="str">
        <f>'[1]Teacher Subject VERT'!AA34</f>
        <v>2 FSK</v>
      </c>
      <c r="Y42" s="107" t="str">
        <f>'[1]Teacher Subject VERT'!AB34</f>
        <v>25 INF</v>
      </c>
      <c r="Z42" s="108" t="str">
        <f>'[1]Teacher Subject VERT'!AC34</f>
        <v>27 PKWU</v>
      </c>
      <c r="AA42" s="109" t="str">
        <f>'[1]Teacher Subject VERT'!AD34</f>
        <v>6 SOS</v>
      </c>
      <c r="AB42" s="110" t="str">
        <f>'[1]Teacher Subject VERT'!AE34</f>
        <v>3 B.IND</v>
      </c>
      <c r="AC42" s="111" t="str">
        <f>'[1]Teacher Subject VERT'!AF34</f>
        <v>5 ENG</v>
      </c>
      <c r="AD42" s="112" t="str">
        <f>'[1]Teacher Subject VERT'!AG34</f>
        <v>54 EKO</v>
      </c>
      <c r="AE42" s="113" t="str">
        <f>'[1]Teacher Subject VERT'!AH34</f>
        <v>31 PKn</v>
      </c>
      <c r="AF42" s="113" t="str">
        <f>'[1]Teacher Subject VERT'!AI34</f>
        <v>36 ENG</v>
      </c>
      <c r="AG42" s="114" t="str">
        <f>'[1]Teacher Subject VERT'!AJ34</f>
        <v>15 BIO</v>
      </c>
      <c r="AH42" s="141"/>
    </row>
    <row r="43" spans="1:34" s="133" customFormat="1" ht="20.100000000000001" customHeight="1" x14ac:dyDescent="0.2">
      <c r="A43" s="12"/>
      <c r="B43" s="95" t="s">
        <v>71</v>
      </c>
      <c r="C43" s="138">
        <v>9</v>
      </c>
      <c r="D43" s="97" t="str">
        <f>'[1]Teacher Subject VERT'!G35</f>
        <v>34 SOS</v>
      </c>
      <c r="E43" s="98" t="str">
        <f>'[1]Teacher Subject VERT'!H35</f>
        <v>28 SEJ</v>
      </c>
      <c r="F43" s="98" t="str">
        <f>'[1]Teacher Subject VERT'!I35</f>
        <v>47 SBD</v>
      </c>
      <c r="G43" s="98" t="str">
        <f>'[1]Teacher Subject VERT'!J35</f>
        <v>14 FSK</v>
      </c>
      <c r="H43" s="98" t="str">
        <f>'[1]Teacher Subject VERT'!K35</f>
        <v>41 PAI</v>
      </c>
      <c r="I43" s="98" t="str">
        <f>'[1]Teacher Subject VERT'!L35</f>
        <v>23 BIO</v>
      </c>
      <c r="J43" s="98" t="str">
        <f>'[1]Teacher Subject VERT'!M35</f>
        <v>10 BTQ</v>
      </c>
      <c r="K43" s="98" t="str">
        <f>'[1]Teacher Subject VERT'!N35</f>
        <v>50 PKWU</v>
      </c>
      <c r="L43" s="98" t="str">
        <f>'[1]Teacher Subject VERT'!O35</f>
        <v>51 B.IND</v>
      </c>
      <c r="M43" s="99" t="str">
        <f>'[1]Teacher Subject VERT'!P35</f>
        <v>40 ENG</v>
      </c>
      <c r="N43" s="100" t="str">
        <f>'[1]Teacher Subject VERT'!Q35</f>
        <v>33 PI</v>
      </c>
      <c r="O43" s="101" t="str">
        <f>'[1]Teacher Subject VERT'!R35</f>
        <v>13 SEJ</v>
      </c>
      <c r="P43" s="101" t="str">
        <f>'[1]Teacher Subject VERT'!S35</f>
        <v>56 BIO</v>
      </c>
      <c r="Q43" s="101" t="str">
        <f>'[1]Teacher Subject VERT'!T35</f>
        <v>52 ENG</v>
      </c>
      <c r="R43" s="102" t="str">
        <f>'[1]Teacher Subject VERT'!U35</f>
        <v>24 PKn</v>
      </c>
      <c r="S43" s="103" t="str">
        <f>'[1]Teacher Subject VERT'!V35</f>
        <v>45 SBD</v>
      </c>
      <c r="T43" s="104" t="str">
        <f>'[1]Teacher Subject VERT'!W35</f>
        <v>38 PKWU</v>
      </c>
      <c r="U43" s="104" t="str">
        <f>'[1]Teacher Subject VERT'!X35</f>
        <v>35 PI</v>
      </c>
      <c r="V43" s="104" t="str">
        <f>'[1]Teacher Subject VERT'!Y35</f>
        <v>11 SOS</v>
      </c>
      <c r="W43" s="170" t="str">
        <f>'[1]Teacher Subject VERT'!Z35</f>
        <v>49 GEO</v>
      </c>
      <c r="X43" s="106" t="str">
        <f>'[1]Teacher Subject VERT'!AA35</f>
        <v>2 FSK</v>
      </c>
      <c r="Y43" s="107" t="str">
        <f>'[1]Teacher Subject VERT'!AB35</f>
        <v>25 INF</v>
      </c>
      <c r="Z43" s="108" t="str">
        <f>'[1]Teacher Subject VERT'!AC35</f>
        <v>27 PKWU</v>
      </c>
      <c r="AA43" s="109" t="str">
        <f>'[1]Teacher Subject VERT'!AD35</f>
        <v>6 SOS</v>
      </c>
      <c r="AB43" s="110" t="str">
        <f>'[1]Teacher Subject VERT'!AE35</f>
        <v>3 B.IND</v>
      </c>
      <c r="AC43" s="111" t="str">
        <f>'[1]Teacher Subject VERT'!AF35</f>
        <v>5 ENG</v>
      </c>
      <c r="AD43" s="112" t="str">
        <f>'[1]Teacher Subject VERT'!AG35</f>
        <v>54 EKO</v>
      </c>
      <c r="AE43" s="113" t="str">
        <f>'[1]Teacher Subject VERT'!AH35</f>
        <v>31 PKn</v>
      </c>
      <c r="AF43" s="113" t="str">
        <f>'[1]Teacher Subject VERT'!AI35</f>
        <v>36 ENG</v>
      </c>
      <c r="AG43" s="114" t="str">
        <f>'[1]Teacher Subject VERT'!AJ35</f>
        <v>15 BIO</v>
      </c>
      <c r="AH43" s="141"/>
    </row>
    <row r="44" spans="1:34" s="133" customFormat="1" ht="18" customHeight="1" thickBot="1" x14ac:dyDescent="0.25">
      <c r="A44" s="12"/>
      <c r="B44" s="95" t="s">
        <v>67</v>
      </c>
      <c r="C44" s="138">
        <v>10</v>
      </c>
      <c r="D44" s="115" t="str">
        <f>'[1]Teacher Subject VERT'!G36</f>
        <v xml:space="preserve"> </v>
      </c>
      <c r="E44" s="116" t="str">
        <f>'[1]Teacher Subject VERT'!H36</f>
        <v xml:space="preserve"> </v>
      </c>
      <c r="F44" s="116" t="str">
        <f>'[1]Teacher Subject VERT'!I36</f>
        <v xml:space="preserve"> </v>
      </c>
      <c r="G44" s="116" t="str">
        <f>'[1]Teacher Subject VERT'!J36</f>
        <v xml:space="preserve"> </v>
      </c>
      <c r="H44" s="116" t="str">
        <f>'[1]Teacher Subject VERT'!K36</f>
        <v xml:space="preserve"> </v>
      </c>
      <c r="I44" s="116" t="str">
        <f>'[1]Teacher Subject VERT'!L36</f>
        <v xml:space="preserve"> </v>
      </c>
      <c r="J44" s="116" t="str">
        <f>'[1]Teacher Subject VERT'!M36</f>
        <v xml:space="preserve"> </v>
      </c>
      <c r="K44" s="116" t="str">
        <f>'[1]Teacher Subject VERT'!N36</f>
        <v xml:space="preserve"> </v>
      </c>
      <c r="L44" s="116" t="str">
        <f>'[1]Teacher Subject VERT'!O36</f>
        <v xml:space="preserve"> </v>
      </c>
      <c r="M44" s="117" t="str">
        <f>'[1]Teacher Subject VERT'!P36</f>
        <v xml:space="preserve"> </v>
      </c>
      <c r="N44" s="118" t="str">
        <f>'[1]Teacher Subject VERT'!Q36</f>
        <v xml:space="preserve"> </v>
      </c>
      <c r="O44" s="119" t="str">
        <f>'[1]Teacher Subject VERT'!R36</f>
        <v xml:space="preserve"> </v>
      </c>
      <c r="P44" s="119" t="str">
        <f>'[1]Teacher Subject VERT'!S36</f>
        <v xml:space="preserve"> </v>
      </c>
      <c r="Q44" s="119" t="str">
        <f>'[1]Teacher Subject VERT'!T36</f>
        <v xml:space="preserve"> </v>
      </c>
      <c r="R44" s="120" t="str">
        <f>'[1]Teacher Subject VERT'!U36</f>
        <v xml:space="preserve"> </v>
      </c>
      <c r="S44" s="121" t="str">
        <f>'[1]Teacher Subject VERT'!V36</f>
        <v xml:space="preserve"> </v>
      </c>
      <c r="T44" s="122" t="str">
        <f>'[1]Teacher Subject VERT'!W36</f>
        <v xml:space="preserve"> </v>
      </c>
      <c r="U44" s="122" t="str">
        <f>'[1]Teacher Subject VERT'!X36</f>
        <v xml:space="preserve"> </v>
      </c>
      <c r="V44" s="122" t="str">
        <f>'[1]Teacher Subject VERT'!Y36</f>
        <v xml:space="preserve"> </v>
      </c>
      <c r="W44" s="123" t="str">
        <f>'[1]Teacher Subject VERT'!Z36</f>
        <v xml:space="preserve"> </v>
      </c>
      <c r="X44" s="124" t="str">
        <f>'[1]Teacher Subject VERT'!AA36</f>
        <v xml:space="preserve"> </v>
      </c>
      <c r="Y44" s="125" t="str">
        <f>'[1]Teacher Subject VERT'!AB36</f>
        <v xml:space="preserve"> </v>
      </c>
      <c r="Z44" s="126" t="str">
        <f>'[1]Teacher Subject VERT'!AC36</f>
        <v xml:space="preserve"> </v>
      </c>
      <c r="AA44" s="127" t="str">
        <f>'[1]Teacher Subject VERT'!AD36</f>
        <v xml:space="preserve"> </v>
      </c>
      <c r="AB44" s="128" t="str">
        <f>'[1]Teacher Subject VERT'!AE36</f>
        <v xml:space="preserve"> </v>
      </c>
      <c r="AC44" s="129" t="str">
        <f>'[1]Teacher Subject VERT'!AF36</f>
        <v xml:space="preserve"> </v>
      </c>
      <c r="AD44" s="130" t="str">
        <f>'[1]Teacher Subject VERT'!AG36</f>
        <v xml:space="preserve"> </v>
      </c>
      <c r="AE44" s="131" t="str">
        <f>'[1]Teacher Subject VERT'!AH36</f>
        <v xml:space="preserve"> </v>
      </c>
      <c r="AF44" s="131" t="str">
        <f>'[1]Teacher Subject VERT'!AI36</f>
        <v xml:space="preserve"> </v>
      </c>
      <c r="AG44" s="132" t="str">
        <f>'[1]Teacher Subject VERT'!AJ36</f>
        <v xml:space="preserve"> </v>
      </c>
      <c r="AH44" s="141"/>
    </row>
    <row r="45" spans="1:34" s="133" customFormat="1" ht="10.5" hidden="1" customHeight="1" x14ac:dyDescent="0.2">
      <c r="A45" s="45"/>
      <c r="B45" s="149" t="s">
        <v>56</v>
      </c>
      <c r="C45" s="171"/>
      <c r="D45" s="172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4"/>
      <c r="AH45" s="141"/>
    </row>
    <row r="46" spans="1:34" s="150" customFormat="1" ht="11.25" customHeight="1" thickBot="1" x14ac:dyDescent="0.25">
      <c r="A46" s="151"/>
      <c r="B46" s="152"/>
      <c r="C46" s="153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25"/>
    </row>
    <row r="47" spans="1:34" s="133" customFormat="1" ht="20.100000000000001" customHeight="1" x14ac:dyDescent="0.2">
      <c r="A47" s="4" t="s">
        <v>72</v>
      </c>
      <c r="B47" s="155" t="s">
        <v>29</v>
      </c>
      <c r="C47" s="156">
        <v>1</v>
      </c>
      <c r="D47" s="76" t="str">
        <f>'[1]Teacher Subject VERT'!G37</f>
        <v>42 PJOK</v>
      </c>
      <c r="E47" s="77" t="str">
        <f>'[1]Teacher Subject VERT'!H37</f>
        <v>31 GEO</v>
      </c>
      <c r="F47" s="77" t="str">
        <f>'[1]Teacher Subject VERT'!I37</f>
        <v>23 BIO</v>
      </c>
      <c r="G47" s="77" t="str">
        <f>'[1]Teacher Subject VERT'!J37</f>
        <v>28 SEJ</v>
      </c>
      <c r="H47" s="77" t="str">
        <f>'[1]Teacher Subject VERT'!K37</f>
        <v>11 SOS</v>
      </c>
      <c r="I47" s="77" t="str">
        <f>'[1]Teacher Subject VERT'!L37</f>
        <v>48 INF</v>
      </c>
      <c r="J47" s="77" t="str">
        <f>'[1]Teacher Subject VERT'!M37</f>
        <v>39 PJOK</v>
      </c>
      <c r="K47" s="77" t="str">
        <f>'[1]Teacher Subject VERT'!N37</f>
        <v xml:space="preserve">53 MTK </v>
      </c>
      <c r="L47" s="77" t="str">
        <f>'[1]Teacher Subject VERT'!O37</f>
        <v>40 ENG</v>
      </c>
      <c r="M47" s="78" t="str">
        <f>'[1]Teacher Subject VERT'!P37</f>
        <v>35 BTQ</v>
      </c>
      <c r="N47" s="79" t="str">
        <f>'[1]Teacher Subject VERT'!Q37</f>
        <v>37 SEJ</v>
      </c>
      <c r="O47" s="80" t="str">
        <f>'[1]Teacher Subject VERT'!R37</f>
        <v>52 ENG</v>
      </c>
      <c r="P47" s="80" t="str">
        <f>'[1]Teacher Subject VERT'!S37</f>
        <v>32 PI</v>
      </c>
      <c r="Q47" s="80" t="str">
        <f>'[1]Teacher Subject VERT'!T37</f>
        <v>30 KIM</v>
      </c>
      <c r="R47" s="81" t="str">
        <f>'[1]Teacher Subject VERT'!U37</f>
        <v>41 PAI</v>
      </c>
      <c r="S47" s="82" t="str">
        <f>'[1]Teacher Subject VERT'!V37</f>
        <v>9 B.IND</v>
      </c>
      <c r="T47" s="83" t="str">
        <f>'[1]Teacher Subject VERT'!W37</f>
        <v>29 BIO</v>
      </c>
      <c r="U47" s="83" t="str">
        <f>'[1]Teacher Subject VERT'!X37</f>
        <v xml:space="preserve">55 MTK </v>
      </c>
      <c r="V47" s="83" t="str">
        <f>'[1]Teacher Subject VERT'!Y37</f>
        <v>49 GEO</v>
      </c>
      <c r="W47" s="84" t="str">
        <f>'[1]Teacher Subject VERT'!Z37</f>
        <v>51 B.IND</v>
      </c>
      <c r="X47" s="85" t="str">
        <f>'[1]Teacher Subject VERT'!AA37</f>
        <v>25 INF</v>
      </c>
      <c r="Y47" s="86" t="str">
        <f>'[1]Teacher Subject VERT'!AB37</f>
        <v xml:space="preserve">20 MTK </v>
      </c>
      <c r="Z47" s="87" t="str">
        <f>'[1]Teacher Subject VERT'!AC37</f>
        <v>4 BIO</v>
      </c>
      <c r="AA47" s="88" t="str">
        <f>'[1]Teacher Subject VERT'!AD37</f>
        <v>47 SBD</v>
      </c>
      <c r="AB47" s="89" t="str">
        <f>'[1]Teacher Subject VERT'!AE37</f>
        <v>16 KIM</v>
      </c>
      <c r="AC47" s="90" t="str">
        <f>'[1]Teacher Subject VERT'!AF37</f>
        <v>17 PKn</v>
      </c>
      <c r="AD47" s="140" t="str">
        <f>'[1]Teacher Subject VERT'!AG37</f>
        <v>26 PJOK</v>
      </c>
      <c r="AE47" s="92" t="str">
        <f>'[1]Teacher Subject VERT'!AH37</f>
        <v>10 PAI</v>
      </c>
      <c r="AF47" s="92" t="str">
        <f>'[1]Teacher Subject VERT'!AI37</f>
        <v>27 PKWU</v>
      </c>
      <c r="AG47" s="93" t="str">
        <f>'[1]Teacher Subject VERT'!AJ37</f>
        <v>45 SBD</v>
      </c>
      <c r="AH47" s="141"/>
    </row>
    <row r="48" spans="1:34" s="133" customFormat="1" ht="20.100000000000001" customHeight="1" x14ac:dyDescent="0.2">
      <c r="A48" s="12"/>
      <c r="B48" s="95" t="s">
        <v>32</v>
      </c>
      <c r="C48" s="157">
        <v>2</v>
      </c>
      <c r="D48" s="97" t="str">
        <f>'[1]Teacher Subject VERT'!G38</f>
        <v>42 PJOK</v>
      </c>
      <c r="E48" s="98" t="str">
        <f>'[1]Teacher Subject VERT'!H38</f>
        <v>31 GEO</v>
      </c>
      <c r="F48" s="98" t="str">
        <f>'[1]Teacher Subject VERT'!I38</f>
        <v>23 BIO</v>
      </c>
      <c r="G48" s="98" t="str">
        <f>'[1]Teacher Subject VERT'!J38</f>
        <v>28 SEJ</v>
      </c>
      <c r="H48" s="98" t="str">
        <f>'[1]Teacher Subject VERT'!K38</f>
        <v>11 SOS</v>
      </c>
      <c r="I48" s="98" t="str">
        <f>'[1]Teacher Subject VERT'!L38</f>
        <v>48 INF</v>
      </c>
      <c r="J48" s="98" t="str">
        <f>'[1]Teacher Subject VERT'!M38</f>
        <v>39 PJOK</v>
      </c>
      <c r="K48" s="98" t="str">
        <f>'[1]Teacher Subject VERT'!N38</f>
        <v xml:space="preserve">53 MTK </v>
      </c>
      <c r="L48" s="98" t="str">
        <f>'[1]Teacher Subject VERT'!O38</f>
        <v>40 ENG</v>
      </c>
      <c r="M48" s="99" t="str">
        <f>'[1]Teacher Subject VERT'!P38</f>
        <v>35 BTQ</v>
      </c>
      <c r="N48" s="100" t="str">
        <f>'[1]Teacher Subject VERT'!Q38</f>
        <v>37 SEJ</v>
      </c>
      <c r="O48" s="101" t="str">
        <f>'[1]Teacher Subject VERT'!R38</f>
        <v>52 ENG</v>
      </c>
      <c r="P48" s="101" t="str">
        <f>'[1]Teacher Subject VERT'!S38</f>
        <v>32 PI</v>
      </c>
      <c r="Q48" s="101" t="str">
        <f>'[1]Teacher Subject VERT'!T38</f>
        <v>30 KIM</v>
      </c>
      <c r="R48" s="102" t="str">
        <f>'[1]Teacher Subject VERT'!U38</f>
        <v>41 PAI</v>
      </c>
      <c r="S48" s="103" t="str">
        <f>'[1]Teacher Subject VERT'!V38</f>
        <v>9 B.IND</v>
      </c>
      <c r="T48" s="104" t="str">
        <f>'[1]Teacher Subject VERT'!W38</f>
        <v>29 BIO</v>
      </c>
      <c r="U48" s="104" t="str">
        <f>'[1]Teacher Subject VERT'!X38</f>
        <v xml:space="preserve">55 MTK </v>
      </c>
      <c r="V48" s="104" t="str">
        <f>'[1]Teacher Subject VERT'!Y38</f>
        <v>49 GEO</v>
      </c>
      <c r="W48" s="105" t="str">
        <f>'[1]Teacher Subject VERT'!Z38</f>
        <v>51 B.IND</v>
      </c>
      <c r="X48" s="106" t="str">
        <f>'[1]Teacher Subject VERT'!AA38</f>
        <v>25 INF</v>
      </c>
      <c r="Y48" s="107" t="str">
        <f>'[1]Teacher Subject VERT'!AB38</f>
        <v xml:space="preserve">20 MTK </v>
      </c>
      <c r="Z48" s="108" t="str">
        <f>'[1]Teacher Subject VERT'!AC38</f>
        <v>4 BIO</v>
      </c>
      <c r="AA48" s="109" t="str">
        <f>'[1]Teacher Subject VERT'!AD38</f>
        <v>47 SBD</v>
      </c>
      <c r="AB48" s="110" t="str">
        <f>'[1]Teacher Subject VERT'!AE38</f>
        <v>16 KIM</v>
      </c>
      <c r="AC48" s="111" t="str">
        <f>'[1]Teacher Subject VERT'!AF38</f>
        <v>17 PKn</v>
      </c>
      <c r="AD48" s="146" t="str">
        <f>'[1]Teacher Subject VERT'!AG38</f>
        <v>26 PJOK</v>
      </c>
      <c r="AE48" s="113" t="str">
        <f>'[1]Teacher Subject VERT'!AH38</f>
        <v>10 PAI</v>
      </c>
      <c r="AF48" s="113" t="str">
        <f>'[1]Teacher Subject VERT'!AI38</f>
        <v>27 PKWU</v>
      </c>
      <c r="AG48" s="114" t="str">
        <f>'[1]Teacher Subject VERT'!AJ38</f>
        <v>45 SBD</v>
      </c>
      <c r="AH48" s="141"/>
    </row>
    <row r="49" spans="1:34" s="133" customFormat="1" ht="20.100000000000001" customHeight="1" x14ac:dyDescent="0.2">
      <c r="A49" s="12"/>
      <c r="B49" s="95" t="s">
        <v>34</v>
      </c>
      <c r="C49" s="157">
        <v>3</v>
      </c>
      <c r="D49" s="97" t="str">
        <f>'[1]Teacher Subject VERT'!G39</f>
        <v>42 PJOK</v>
      </c>
      <c r="E49" s="98" t="str">
        <f>'[1]Teacher Subject VERT'!H39</f>
        <v>32 BTQ</v>
      </c>
      <c r="F49" s="98" t="str">
        <f>'[1]Teacher Subject VERT'!I39</f>
        <v>23 BIO</v>
      </c>
      <c r="G49" s="98" t="str">
        <f>'[1]Teacher Subject VERT'!J39</f>
        <v>12 EKO</v>
      </c>
      <c r="H49" s="98" t="str">
        <f>'[1]Teacher Subject VERT'!K39</f>
        <v>25 INF</v>
      </c>
      <c r="I49" s="98" t="str">
        <f>'[1]Teacher Subject VERT'!L39</f>
        <v>47 SBD</v>
      </c>
      <c r="J49" s="98" t="str">
        <f>'[1]Teacher Subject VERT'!M39</f>
        <v>39 PJOK</v>
      </c>
      <c r="K49" s="98" t="str">
        <f>'[1]Teacher Subject VERT'!N39</f>
        <v xml:space="preserve">53 MTK </v>
      </c>
      <c r="L49" s="98" t="str">
        <f>'[1]Teacher Subject VERT'!O39</f>
        <v>40 ENG</v>
      </c>
      <c r="M49" s="99" t="str">
        <f>'[1]Teacher Subject VERT'!P39</f>
        <v>11 SOS</v>
      </c>
      <c r="N49" s="100" t="str">
        <f>'[1]Teacher Subject VERT'!Q39</f>
        <v>14 FSK</v>
      </c>
      <c r="O49" s="101" t="str">
        <f>'[1]Teacher Subject VERT'!R39</f>
        <v>52 ENG</v>
      </c>
      <c r="P49" s="101" t="str">
        <f>'[1]Teacher Subject VERT'!S39</f>
        <v>48 INF</v>
      </c>
      <c r="Q49" s="101" t="str">
        <f>'[1]Teacher Subject VERT'!T39</f>
        <v>30 KIM</v>
      </c>
      <c r="R49" s="102" t="str">
        <f>'[1]Teacher Subject VERT'!U39</f>
        <v>41 PAI</v>
      </c>
      <c r="S49" s="103" t="str">
        <f>'[1]Teacher Subject VERT'!V39</f>
        <v>9 B.IND</v>
      </c>
      <c r="T49" s="104" t="str">
        <f>'[1]Teacher Subject VERT'!W39</f>
        <v>29 BIO</v>
      </c>
      <c r="U49" s="104" t="str">
        <f>'[1]Teacher Subject VERT'!X39</f>
        <v xml:space="preserve">55 MTK </v>
      </c>
      <c r="V49" s="104" t="str">
        <f>'[1]Teacher Subject VERT'!Y39</f>
        <v>35 PI</v>
      </c>
      <c r="W49" s="105" t="str">
        <f>'[1]Teacher Subject VERT'!Z39</f>
        <v>51 B.IND</v>
      </c>
      <c r="X49" s="106" t="str">
        <f>'[1]Teacher Subject VERT'!AA39</f>
        <v>21 B.IND</v>
      </c>
      <c r="Y49" s="107" t="str">
        <f>'[1]Teacher Subject VERT'!AB39</f>
        <v>17 PKn</v>
      </c>
      <c r="Z49" s="108" t="str">
        <f>'[1]Teacher Subject VERT'!AC39</f>
        <v>4 BIO</v>
      </c>
      <c r="AA49" s="109" t="str">
        <f>'[1]Teacher Subject VERT'!AD39</f>
        <v xml:space="preserve">20 MTK </v>
      </c>
      <c r="AB49" s="110" t="str">
        <f>'[1]Teacher Subject VERT'!AE39</f>
        <v>5 ENG</v>
      </c>
      <c r="AC49" s="111" t="str">
        <f>'[1]Teacher Subject VERT'!AF39</f>
        <v>16 KIM</v>
      </c>
      <c r="AD49" s="146" t="str">
        <f>'[1]Teacher Subject VERT'!AG39</f>
        <v>26 PJOK</v>
      </c>
      <c r="AE49" s="113" t="str">
        <f>'[1]Teacher Subject VERT'!AH39</f>
        <v>10 PAI</v>
      </c>
      <c r="AF49" s="113" t="str">
        <f>'[1]Teacher Subject VERT'!AI39</f>
        <v>45 SBD</v>
      </c>
      <c r="AG49" s="114" t="str">
        <f>'[1]Teacher Subject VERT'!AJ39</f>
        <v>31 PKn</v>
      </c>
      <c r="AH49" s="141"/>
    </row>
    <row r="50" spans="1:34" s="133" customFormat="1" ht="20.100000000000001" customHeight="1" thickBot="1" x14ac:dyDescent="0.25">
      <c r="A50" s="12"/>
      <c r="B50" s="95" t="s">
        <v>36</v>
      </c>
      <c r="C50" s="157">
        <v>4</v>
      </c>
      <c r="D50" s="115" t="str">
        <f>'[1]Teacher Subject VERT'!G40</f>
        <v>30 KIM</v>
      </c>
      <c r="E50" s="116" t="str">
        <f>'[1]Teacher Subject VERT'!H40</f>
        <v>32 BTQ</v>
      </c>
      <c r="F50" s="116" t="str">
        <f>'[1]Teacher Subject VERT'!I40</f>
        <v>39 PJOK</v>
      </c>
      <c r="G50" s="116" t="str">
        <f>'[1]Teacher Subject VERT'!J40</f>
        <v>12 EKO</v>
      </c>
      <c r="H50" s="116" t="str">
        <f>'[1]Teacher Subject VERT'!K40</f>
        <v>25 INF</v>
      </c>
      <c r="I50" s="116" t="str">
        <f>'[1]Teacher Subject VERT'!L40</f>
        <v>47 SBD</v>
      </c>
      <c r="J50" s="116" t="str">
        <f>'[1]Teacher Subject VERT'!M40</f>
        <v>49 KIM</v>
      </c>
      <c r="K50" s="116" t="str">
        <f>'[1]Teacher Subject VERT'!N40</f>
        <v>2 FSK</v>
      </c>
      <c r="L50" s="116" t="str">
        <f>'[1]Teacher Subject VERT'!O40</f>
        <v xml:space="preserve">55 MTK </v>
      </c>
      <c r="M50" s="117" t="str">
        <f>'[1]Teacher Subject VERT'!P40</f>
        <v>11 SOS</v>
      </c>
      <c r="N50" s="118" t="str">
        <f>'[1]Teacher Subject VERT'!Q40</f>
        <v>14 FSK</v>
      </c>
      <c r="O50" s="119" t="str">
        <f>'[1]Teacher Subject VERT'!R40</f>
        <v>50 PJOK</v>
      </c>
      <c r="P50" s="119" t="str">
        <f>'[1]Teacher Subject VERT'!S40</f>
        <v>48 INF</v>
      </c>
      <c r="Q50" s="119" t="str">
        <f>'[1]Teacher Subject VERT'!T40</f>
        <v>37 SEJ</v>
      </c>
      <c r="R50" s="120" t="str">
        <f>'[1]Teacher Subject VERT'!U40</f>
        <v>29 BIO</v>
      </c>
      <c r="S50" s="121" t="str">
        <f>'[1]Teacher Subject VERT'!V40</f>
        <v>28 PKn</v>
      </c>
      <c r="T50" s="122" t="str">
        <f>'[1]Teacher Subject VERT'!W40</f>
        <v>51 B.IND</v>
      </c>
      <c r="U50" s="122" t="str">
        <f>'[1]Teacher Subject VERT'!X40</f>
        <v>42 PJOK</v>
      </c>
      <c r="V50" s="122" t="str">
        <f>'[1]Teacher Subject VERT'!Y40</f>
        <v>35 PI</v>
      </c>
      <c r="W50" s="123" t="str">
        <f>'[1]Teacher Subject VERT'!Z40</f>
        <v>56 BIO</v>
      </c>
      <c r="X50" s="124" t="str">
        <f>'[1]Teacher Subject VERT'!AA40</f>
        <v>21 B.IND</v>
      </c>
      <c r="Y50" s="125" t="str">
        <f>'[1]Teacher Subject VERT'!AB40</f>
        <v>17 PKn</v>
      </c>
      <c r="Z50" s="126" t="str">
        <f>'[1]Teacher Subject VERT'!AC40</f>
        <v>43 MTL</v>
      </c>
      <c r="AA50" s="127" t="str">
        <f>'[1]Teacher Subject VERT'!AD40</f>
        <v xml:space="preserve">20 MTK </v>
      </c>
      <c r="AB50" s="128" t="str">
        <f>'[1]Teacher Subject VERT'!AE40</f>
        <v>5 ENG</v>
      </c>
      <c r="AC50" s="129" t="str">
        <f>'[1]Teacher Subject VERT'!AF40</f>
        <v>16 KIM</v>
      </c>
      <c r="AD50" s="143" t="str">
        <f>'[1]Teacher Subject VERT'!AG40</f>
        <v>27 PKWU</v>
      </c>
      <c r="AE50" s="131" t="str">
        <f>'[1]Teacher Subject VERT'!AH40</f>
        <v>26 PJOK</v>
      </c>
      <c r="AF50" s="131" t="str">
        <f>'[1]Teacher Subject VERT'!AI40</f>
        <v>45 SBD</v>
      </c>
      <c r="AG50" s="132" t="str">
        <f>'[1]Teacher Subject VERT'!AJ40</f>
        <v>31 PKn</v>
      </c>
      <c r="AH50" s="141"/>
    </row>
    <row r="51" spans="1:34" s="133" customFormat="1" ht="20.100000000000001" customHeight="1" thickBot="1" x14ac:dyDescent="0.25">
      <c r="A51" s="12"/>
      <c r="B51" s="95" t="s">
        <v>38</v>
      </c>
      <c r="C51" s="173" t="s">
        <v>39</v>
      </c>
      <c r="D51" s="136" t="s">
        <v>40</v>
      </c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7"/>
      <c r="AH51" s="72"/>
    </row>
    <row r="52" spans="1:34" s="133" customFormat="1" ht="20.100000000000001" customHeight="1" x14ac:dyDescent="0.2">
      <c r="A52" s="12"/>
      <c r="B52" s="95" t="s">
        <v>42</v>
      </c>
      <c r="C52" s="157">
        <v>5</v>
      </c>
      <c r="D52" s="76" t="str">
        <f>'[1]Teacher Subject VERT'!G41</f>
        <v>30 KIM</v>
      </c>
      <c r="E52" s="77" t="str">
        <f>'[1]Teacher Subject VERT'!H41</f>
        <v>14 FSK</v>
      </c>
      <c r="F52" s="77" t="str">
        <f>'[1]Teacher Subject VERT'!I41</f>
        <v>39 PJOK</v>
      </c>
      <c r="G52" s="77" t="str">
        <f>'[1]Teacher Subject VERT'!J41</f>
        <v>12 EKO</v>
      </c>
      <c r="H52" s="77" t="str">
        <f>'[1]Teacher Subject VERT'!K41</f>
        <v>34 GEO</v>
      </c>
      <c r="I52" s="77" t="str">
        <f>'[1]Teacher Subject VERT'!L41</f>
        <v>35 PAI</v>
      </c>
      <c r="J52" s="77" t="str">
        <f>'[1]Teacher Subject VERT'!M41</f>
        <v>49 KIM</v>
      </c>
      <c r="K52" s="77" t="str">
        <f>'[1]Teacher Subject VERT'!N41</f>
        <v>2 FSK</v>
      </c>
      <c r="L52" s="77" t="str">
        <f>'[1]Teacher Subject VERT'!O41</f>
        <v xml:space="preserve">55 MTK </v>
      </c>
      <c r="M52" s="78" t="str">
        <f>'[1]Teacher Subject VERT'!P41</f>
        <v>45 SBD</v>
      </c>
      <c r="N52" s="79" t="str">
        <f>'[1]Teacher Subject VERT'!Q41</f>
        <v>47 SBD</v>
      </c>
      <c r="O52" s="80" t="str">
        <f>'[1]Teacher Subject VERT'!R41</f>
        <v>50 PJOK</v>
      </c>
      <c r="P52" s="80" t="str">
        <f>'[1]Teacher Subject VERT'!S41</f>
        <v>9 B.IND</v>
      </c>
      <c r="Q52" s="80" t="str">
        <f>'[1]Teacher Subject VERT'!T41</f>
        <v>37 SEJ</v>
      </c>
      <c r="R52" s="81" t="str">
        <f>'[1]Teacher Subject VERT'!U41</f>
        <v>29 BIO</v>
      </c>
      <c r="S52" s="82" t="str">
        <f>'[1]Teacher Subject VERT'!V41</f>
        <v>28 PKn</v>
      </c>
      <c r="T52" s="83" t="str">
        <f>'[1]Teacher Subject VERT'!W41</f>
        <v>51 B.IND</v>
      </c>
      <c r="U52" s="83" t="str">
        <f>'[1]Teacher Subject VERT'!X41</f>
        <v>42 PJOK</v>
      </c>
      <c r="V52" s="83" t="str">
        <f>'[1]Teacher Subject VERT'!Y41</f>
        <v>48 INF</v>
      </c>
      <c r="W52" s="84" t="str">
        <f>'[1]Teacher Subject VERT'!Z41</f>
        <v>56 BIO</v>
      </c>
      <c r="X52" s="85" t="str">
        <f>'[1]Teacher Subject VERT'!AA41</f>
        <v>21 B.IND</v>
      </c>
      <c r="Y52" s="86" t="str">
        <f>'[1]Teacher Subject VERT'!AB41</f>
        <v>16 KIM</v>
      </c>
      <c r="Z52" s="87" t="str">
        <f>'[1]Teacher Subject VERT'!AC41</f>
        <v>43 MTL</v>
      </c>
      <c r="AA52" s="88" t="str">
        <f>'[1]Teacher Subject VERT'!AD41</f>
        <v xml:space="preserve">20 MTK </v>
      </c>
      <c r="AB52" s="89" t="str">
        <f>'[1]Teacher Subject VERT'!AE41</f>
        <v>5 ENG</v>
      </c>
      <c r="AC52" s="90" t="str">
        <f>'[1]Teacher Subject VERT'!AF41</f>
        <v>25 INF</v>
      </c>
      <c r="AD52" s="140" t="str">
        <f>'[1]Teacher Subject VERT'!AG41</f>
        <v>27 PKWU</v>
      </c>
      <c r="AE52" s="92" t="str">
        <f>'[1]Teacher Subject VERT'!AH41</f>
        <v>26 PJOK</v>
      </c>
      <c r="AF52" s="92" t="str">
        <f>'[1]Teacher Subject VERT'!AI41</f>
        <v>31 PKn</v>
      </c>
      <c r="AG52" s="93" t="str">
        <f>'[1]Teacher Subject VERT'!AJ41</f>
        <v>36 ENG</v>
      </c>
      <c r="AH52" s="141"/>
    </row>
    <row r="53" spans="1:34" s="133" customFormat="1" ht="20.100000000000001" customHeight="1" thickBot="1" x14ac:dyDescent="0.25">
      <c r="A53" s="12"/>
      <c r="B53" s="95" t="s">
        <v>44</v>
      </c>
      <c r="C53" s="157">
        <v>6</v>
      </c>
      <c r="D53" s="115" t="str">
        <f>'[1]Teacher Subject VERT'!G42</f>
        <v>30 KIM</v>
      </c>
      <c r="E53" s="116" t="str">
        <f>'[1]Teacher Subject VERT'!H42</f>
        <v>14 FSK</v>
      </c>
      <c r="F53" s="116" t="str">
        <f>'[1]Teacher Subject VERT'!I42</f>
        <v>39 PJOK</v>
      </c>
      <c r="G53" s="116" t="str">
        <f>'[1]Teacher Subject VERT'!J42</f>
        <v>23 BIO</v>
      </c>
      <c r="H53" s="116" t="str">
        <f>'[1]Teacher Subject VERT'!K42</f>
        <v>34 GEO</v>
      </c>
      <c r="I53" s="116" t="str">
        <f>'[1]Teacher Subject VERT'!L42</f>
        <v>35 PAI</v>
      </c>
      <c r="J53" s="116" t="str">
        <f>'[1]Teacher Subject VERT'!M42</f>
        <v>49 KIM</v>
      </c>
      <c r="K53" s="116" t="str">
        <f>'[1]Teacher Subject VERT'!N42</f>
        <v>40 ENG</v>
      </c>
      <c r="L53" s="116" t="str">
        <f>'[1]Teacher Subject VERT'!O42</f>
        <v xml:space="preserve">55 MTK </v>
      </c>
      <c r="M53" s="117" t="str">
        <f>'[1]Teacher Subject VERT'!P42</f>
        <v>45 SBD</v>
      </c>
      <c r="N53" s="118" t="str">
        <f>'[1]Teacher Subject VERT'!Q42</f>
        <v>47 SBD</v>
      </c>
      <c r="O53" s="119" t="str">
        <f>'[1]Teacher Subject VERT'!R42</f>
        <v>50 PJOK</v>
      </c>
      <c r="P53" s="119" t="str">
        <f>'[1]Teacher Subject VERT'!S42</f>
        <v>9 B.IND</v>
      </c>
      <c r="Q53" s="119" t="str">
        <f>'[1]Teacher Subject VERT'!T42</f>
        <v>41 PAI</v>
      </c>
      <c r="R53" s="120" t="str">
        <f>'[1]Teacher Subject VERT'!U42</f>
        <v>52 ENG</v>
      </c>
      <c r="S53" s="121" t="str">
        <f>'[1]Teacher Subject VERT'!V42</f>
        <v xml:space="preserve">53 MTK </v>
      </c>
      <c r="T53" s="122" t="str">
        <f>'[1]Teacher Subject VERT'!W42</f>
        <v>51 B.IND</v>
      </c>
      <c r="U53" s="122" t="str">
        <f>'[1]Teacher Subject VERT'!X42</f>
        <v>42 PJOK</v>
      </c>
      <c r="V53" s="122" t="str">
        <f>'[1]Teacher Subject VERT'!Y42</f>
        <v>48 INF</v>
      </c>
      <c r="W53" s="123" t="str">
        <f>'[1]Teacher Subject VERT'!Z42</f>
        <v>56 BIO</v>
      </c>
      <c r="X53" s="124" t="str">
        <f>'[1]Teacher Subject VERT'!AA42</f>
        <v>29 BIO</v>
      </c>
      <c r="Y53" s="125" t="str">
        <f>'[1]Teacher Subject VERT'!AB42</f>
        <v>16 KIM</v>
      </c>
      <c r="Z53" s="126" t="str">
        <f>'[1]Teacher Subject VERT'!AC42</f>
        <v>43 MTL</v>
      </c>
      <c r="AA53" s="127" t="str">
        <f>'[1]Teacher Subject VERT'!AD42</f>
        <v>2 FSK</v>
      </c>
      <c r="AB53" s="128" t="str">
        <f>'[1]Teacher Subject VERT'!AE42</f>
        <v xml:space="preserve">20 MTK </v>
      </c>
      <c r="AC53" s="129" t="str">
        <f>'[1]Teacher Subject VERT'!AF42</f>
        <v>25 INF</v>
      </c>
      <c r="AD53" s="143" t="str">
        <f>'[1]Teacher Subject VERT'!AG42</f>
        <v>10 PAI</v>
      </c>
      <c r="AE53" s="131" t="str">
        <f>'[1]Teacher Subject VERT'!AH42</f>
        <v>26 PJOK</v>
      </c>
      <c r="AF53" s="131" t="str">
        <f>'[1]Teacher Subject VERT'!AI42</f>
        <v>31 PKn</v>
      </c>
      <c r="AG53" s="132" t="str">
        <f>'[1]Teacher Subject VERT'!AJ42</f>
        <v>36 ENG</v>
      </c>
      <c r="AH53" s="141"/>
    </row>
    <row r="54" spans="1:34" s="133" customFormat="1" ht="20.100000000000001" customHeight="1" thickBot="1" x14ac:dyDescent="0.25">
      <c r="A54" s="12"/>
      <c r="B54" s="95" t="s">
        <v>46</v>
      </c>
      <c r="C54" s="173" t="s">
        <v>47</v>
      </c>
      <c r="D54" s="136" t="s">
        <v>48</v>
      </c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7"/>
      <c r="AH54" s="160"/>
    </row>
    <row r="55" spans="1:34" s="133" customFormat="1" ht="20.100000000000001" customHeight="1" x14ac:dyDescent="0.2">
      <c r="A55" s="12"/>
      <c r="B55" s="95" t="s">
        <v>62</v>
      </c>
      <c r="C55" s="157">
        <v>7</v>
      </c>
      <c r="D55" s="76" t="str">
        <f>'[1]Teacher Subject VERT'!G43</f>
        <v>47 SBD</v>
      </c>
      <c r="E55" s="77" t="str">
        <f>'[1]Teacher Subject VERT'!H43</f>
        <v>34 SOS</v>
      </c>
      <c r="F55" s="77" t="str">
        <f>'[1]Teacher Subject VERT'!I43</f>
        <v>17 PKn</v>
      </c>
      <c r="G55" s="77" t="str">
        <f>'[1]Teacher Subject VERT'!J43</f>
        <v>23 BIO</v>
      </c>
      <c r="H55" s="77" t="str">
        <f>'[1]Teacher Subject VERT'!K43</f>
        <v>35 BTQ</v>
      </c>
      <c r="I55" s="77" t="str">
        <f>'[1]Teacher Subject VERT'!L43</f>
        <v>28 SEJ</v>
      </c>
      <c r="J55" s="77" t="str">
        <f>'[1]Teacher Subject VERT'!M43</f>
        <v>56 INF</v>
      </c>
      <c r="K55" s="77" t="str">
        <f>'[1]Teacher Subject VERT'!N43</f>
        <v>40 ENG</v>
      </c>
      <c r="L55" s="77" t="str">
        <f>'[1]Teacher Subject VERT'!O43</f>
        <v>32 BTQ</v>
      </c>
      <c r="M55" s="78" t="str">
        <f>'[1]Teacher Subject VERT'!P43</f>
        <v>51 B.IND</v>
      </c>
      <c r="N55" s="79" t="str">
        <f>'[1]Teacher Subject VERT'!Q43</f>
        <v>9 B.IND</v>
      </c>
      <c r="O55" s="80" t="str">
        <f>'[1]Teacher Subject VERT'!R43</f>
        <v>48 INF</v>
      </c>
      <c r="P55" s="80" t="str">
        <f>'[1]Teacher Subject VERT'!S43</f>
        <v>14 FSK</v>
      </c>
      <c r="Q55" s="80" t="str">
        <f>'[1]Teacher Subject VERT'!T43</f>
        <v>41 PAI</v>
      </c>
      <c r="R55" s="81" t="str">
        <f>'[1]Teacher Subject VERT'!U43</f>
        <v>52 ENG</v>
      </c>
      <c r="S55" s="82" t="str">
        <f>'[1]Teacher Subject VERT'!V43</f>
        <v xml:space="preserve">53 MTK </v>
      </c>
      <c r="T55" s="83" t="str">
        <f>'[1]Teacher Subject VERT'!W43</f>
        <v>31 GEO</v>
      </c>
      <c r="U55" s="83" t="str">
        <f>'[1]Teacher Subject VERT'!X43</f>
        <v>12 EKO</v>
      </c>
      <c r="V55" s="83" t="str">
        <f>'[1]Teacher Subject VERT'!Y43</f>
        <v>37 SEJ</v>
      </c>
      <c r="W55" s="84" t="str">
        <f>'[1]Teacher Subject VERT'!Z43</f>
        <v>11 SOS</v>
      </c>
      <c r="X55" s="85" t="str">
        <f>'[1]Teacher Subject VERT'!AA43</f>
        <v>29 BIO</v>
      </c>
      <c r="Y55" s="86" t="str">
        <f>'[1]Teacher Subject VERT'!AB43</f>
        <v>27 PKWU</v>
      </c>
      <c r="Z55" s="87" t="str">
        <f>'[1]Teacher Subject VERT'!AC43</f>
        <v>5 ENG</v>
      </c>
      <c r="AA55" s="88" t="str">
        <f>'[1]Teacher Subject VERT'!AD43</f>
        <v>2 FSK</v>
      </c>
      <c r="AB55" s="89" t="str">
        <f>'[1]Teacher Subject VERT'!AE43</f>
        <v xml:space="preserve">20 MTK </v>
      </c>
      <c r="AC55" s="90" t="str">
        <f>'[1]Teacher Subject VERT'!AF43</f>
        <v>45 SBD</v>
      </c>
      <c r="AD55" s="140" t="str">
        <f>'[1]Teacher Subject VERT'!AG43</f>
        <v>10 PAI</v>
      </c>
      <c r="AE55" s="92" t="str">
        <f>'[1]Teacher Subject VERT'!AH43</f>
        <v>36 ENG</v>
      </c>
      <c r="AF55" s="92" t="str">
        <f>'[1]Teacher Subject VERT'!AI43</f>
        <v>49 GEO</v>
      </c>
      <c r="AG55" s="93" t="str">
        <f>'[1]Teacher Subject VERT'!AJ43</f>
        <v>25 INF</v>
      </c>
      <c r="AH55" s="141"/>
    </row>
    <row r="56" spans="1:34" s="133" customFormat="1" ht="18.75" thickBot="1" x14ac:dyDescent="0.25">
      <c r="A56" s="12"/>
      <c r="B56" s="95" t="s">
        <v>73</v>
      </c>
      <c r="C56" s="157">
        <v>8</v>
      </c>
      <c r="D56" s="115" t="str">
        <f>'[1]Teacher Subject VERT'!G44</f>
        <v>47 SBD</v>
      </c>
      <c r="E56" s="116" t="str">
        <f>'[1]Teacher Subject VERT'!H44</f>
        <v>34 SOS</v>
      </c>
      <c r="F56" s="116" t="str">
        <f>'[1]Teacher Subject VERT'!I44</f>
        <v>17 PKn</v>
      </c>
      <c r="G56" s="116" t="str">
        <f>'[1]Teacher Subject VERT'!J44</f>
        <v>23 BIO</v>
      </c>
      <c r="H56" s="116" t="str">
        <f>'[1]Teacher Subject VERT'!K44</f>
        <v>35 BTQ</v>
      </c>
      <c r="I56" s="116" t="str">
        <f>'[1]Teacher Subject VERT'!L44</f>
        <v>28 SEJ</v>
      </c>
      <c r="J56" s="116" t="str">
        <f>'[1]Teacher Subject VERT'!M44</f>
        <v>56 INF</v>
      </c>
      <c r="K56" s="116" t="str">
        <f>'[1]Teacher Subject VERT'!N44</f>
        <v>40 ENG</v>
      </c>
      <c r="L56" s="116" t="str">
        <f>'[1]Teacher Subject VERT'!O44</f>
        <v>32 BTQ</v>
      </c>
      <c r="M56" s="117" t="str">
        <f>'[1]Teacher Subject VERT'!P44</f>
        <v>51 B.IND</v>
      </c>
      <c r="N56" s="118" t="str">
        <f>'[1]Teacher Subject VERT'!Q44</f>
        <v>9 B.IND</v>
      </c>
      <c r="O56" s="119" t="str">
        <f>'[1]Teacher Subject VERT'!R44</f>
        <v>48 INF</v>
      </c>
      <c r="P56" s="119" t="str">
        <f>'[1]Teacher Subject VERT'!S44</f>
        <v>14 FSK</v>
      </c>
      <c r="Q56" s="119" t="str">
        <f>'[1]Teacher Subject VERT'!T44</f>
        <v>41 PAI</v>
      </c>
      <c r="R56" s="120" t="str">
        <f>'[1]Teacher Subject VERT'!U44</f>
        <v>52 ENG</v>
      </c>
      <c r="S56" s="121" t="str">
        <f>'[1]Teacher Subject VERT'!V44</f>
        <v xml:space="preserve">53 MTK </v>
      </c>
      <c r="T56" s="122" t="str">
        <f>'[1]Teacher Subject VERT'!W44</f>
        <v>31 GEO</v>
      </c>
      <c r="U56" s="122" t="str">
        <f>'[1]Teacher Subject VERT'!X44</f>
        <v>12 EKO</v>
      </c>
      <c r="V56" s="122" t="str">
        <f>'[1]Teacher Subject VERT'!Y44</f>
        <v>37 SEJ</v>
      </c>
      <c r="W56" s="123" t="str">
        <f>'[1]Teacher Subject VERT'!Z44</f>
        <v>11 SOS</v>
      </c>
      <c r="X56" s="124" t="str">
        <f>'[1]Teacher Subject VERT'!AA44</f>
        <v>29 BIO</v>
      </c>
      <c r="Y56" s="125" t="str">
        <f>'[1]Teacher Subject VERT'!AB44</f>
        <v>27 PKWU</v>
      </c>
      <c r="Z56" s="126" t="str">
        <f>'[1]Teacher Subject VERT'!AC44</f>
        <v>5 ENG</v>
      </c>
      <c r="AA56" s="127" t="str">
        <f>'[1]Teacher Subject VERT'!AD44</f>
        <v>2 FSK</v>
      </c>
      <c r="AB56" s="128" t="str">
        <f>'[1]Teacher Subject VERT'!AE44</f>
        <v xml:space="preserve">20 MTK </v>
      </c>
      <c r="AC56" s="129" t="str">
        <f>'[1]Teacher Subject VERT'!AF44</f>
        <v>45 SBD</v>
      </c>
      <c r="AD56" s="143" t="str">
        <f>'[1]Teacher Subject VERT'!AG44</f>
        <v>10 PAI</v>
      </c>
      <c r="AE56" s="131" t="str">
        <f>'[1]Teacher Subject VERT'!AH44</f>
        <v>36 ENG</v>
      </c>
      <c r="AF56" s="131" t="str">
        <f>'[1]Teacher Subject VERT'!AI44</f>
        <v>49 GEO</v>
      </c>
      <c r="AG56" s="132" t="str">
        <f>'[1]Teacher Subject VERT'!AJ44</f>
        <v>25 INF</v>
      </c>
      <c r="AH56" s="141"/>
    </row>
    <row r="57" spans="1:34" s="133" customFormat="1" ht="13.5" thickBot="1" x14ac:dyDescent="0.25">
      <c r="A57" s="174"/>
      <c r="B57" s="175"/>
      <c r="C57" s="176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41"/>
    </row>
    <row r="58" spans="1:34" s="133" customFormat="1" ht="16.5" thickBot="1" x14ac:dyDescent="0.25">
      <c r="A58" s="4" t="s">
        <v>74</v>
      </c>
      <c r="B58" s="155" t="s">
        <v>29</v>
      </c>
      <c r="C58" s="156">
        <v>1</v>
      </c>
      <c r="D58" s="178" t="s">
        <v>75</v>
      </c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80"/>
      <c r="AH58" s="160"/>
    </row>
    <row r="59" spans="1:34" s="133" customFormat="1" ht="20.100000000000001" customHeight="1" x14ac:dyDescent="0.2">
      <c r="A59" s="12"/>
      <c r="B59" s="95" t="s">
        <v>76</v>
      </c>
      <c r="C59" s="157">
        <v>2</v>
      </c>
      <c r="D59" s="76" t="str">
        <f>'[1]Teacher Subject VERT'!G47</f>
        <v>38 PKWU</v>
      </c>
      <c r="E59" s="77" t="str">
        <f>'[1]Teacher Subject VERT'!H47</f>
        <v>56 INF</v>
      </c>
      <c r="F59" s="77" t="str">
        <f>'[1]Teacher Subject VERT'!I47</f>
        <v>14 FSK</v>
      </c>
      <c r="G59" s="77" t="str">
        <f>'[1]Teacher Subject VERT'!J47</f>
        <v>49 GEO</v>
      </c>
      <c r="H59" s="77" t="str">
        <f>'[1]Teacher Subject VERT'!K47</f>
        <v>3 B.IND</v>
      </c>
      <c r="I59" s="77" t="str">
        <f>'[1]Teacher Subject VERT'!L47</f>
        <v>33 EKO</v>
      </c>
      <c r="J59" s="77" t="str">
        <f>'[1]Teacher Subject VERT'!M47</f>
        <v xml:space="preserve">53 MTK </v>
      </c>
      <c r="K59" s="77" t="str">
        <f>'[1]Teacher Subject VERT'!N47</f>
        <v>37 SEJ</v>
      </c>
      <c r="L59" s="77" t="str">
        <f>'[1]Teacher Subject VERT'!O47</f>
        <v>47 SBD</v>
      </c>
      <c r="M59" s="78" t="str">
        <f>'[1]Teacher Subject VERT'!P47</f>
        <v>23 BIO</v>
      </c>
      <c r="N59" s="79" t="str">
        <f>'[1]Teacher Subject VERT'!Q47</f>
        <v>50 PJOK</v>
      </c>
      <c r="O59" s="80" t="str">
        <f>'[1]Teacher Subject VERT'!R47</f>
        <v xml:space="preserve">22 MTK </v>
      </c>
      <c r="P59" s="80" t="str">
        <f>'[1]Teacher Subject VERT'!S47</f>
        <v>30 KIM</v>
      </c>
      <c r="Q59" s="80" t="str">
        <f>'[1]Teacher Subject VERT'!T47</f>
        <v>32 PI</v>
      </c>
      <c r="R59" s="81" t="str">
        <f>'[1]Teacher Subject VERT'!U47</f>
        <v>45 SBD</v>
      </c>
      <c r="S59" s="82" t="str">
        <f>'[1]Teacher Subject VERT'!V47</f>
        <v>48 INF</v>
      </c>
      <c r="T59" s="83" t="str">
        <f>'[1]Teacher Subject VERT'!W47</f>
        <v>42 PJOK</v>
      </c>
      <c r="U59" s="83" t="str">
        <f>'[1]Teacher Subject VERT'!X47</f>
        <v>12 EKO</v>
      </c>
      <c r="V59" s="83" t="str">
        <f>'[1]Teacher Subject VERT'!Y47</f>
        <v>36 ENG</v>
      </c>
      <c r="W59" s="84" t="str">
        <f>'[1]Teacher Subject VERT'!Z47</f>
        <v>41 PAI</v>
      </c>
      <c r="X59" s="85" t="str">
        <f>'[1]Teacher Subject VERT'!AA47</f>
        <v xml:space="preserve">20 MTK </v>
      </c>
      <c r="Y59" s="86" t="str">
        <f>'[1]Teacher Subject VERT'!AB47</f>
        <v>16 KIM</v>
      </c>
      <c r="Z59" s="87" t="str">
        <f>'[1]Teacher Subject VERT'!AC47</f>
        <v>5 ENG</v>
      </c>
      <c r="AA59" s="88" t="str">
        <f>'[1]Teacher Subject VERT'!AD47</f>
        <v>7 PAI</v>
      </c>
      <c r="AB59" s="89" t="str">
        <f>'[1]Teacher Subject VERT'!AE47</f>
        <v>13 SEJ</v>
      </c>
      <c r="AC59" s="90" t="str">
        <f>'[1]Teacher Subject VERT'!AF47</f>
        <v>26 PJOK</v>
      </c>
      <c r="AD59" s="140" t="str">
        <f>'[1]Teacher Subject VERT'!AG47</f>
        <v>25 INF</v>
      </c>
      <c r="AE59" s="92" t="str">
        <f>'[1]Teacher Subject VERT'!AH47</f>
        <v>6 SOS</v>
      </c>
      <c r="AF59" s="92" t="str">
        <f>'[1]Teacher Subject VERT'!AI47</f>
        <v>54 EKO</v>
      </c>
      <c r="AG59" s="93" t="str">
        <f>'[1]Teacher Subject VERT'!AJ47</f>
        <v>10 PAI</v>
      </c>
      <c r="AH59" s="141"/>
    </row>
    <row r="60" spans="1:34" s="133" customFormat="1" ht="20.100000000000001" customHeight="1" x14ac:dyDescent="0.2">
      <c r="A60" s="12"/>
      <c r="B60" s="95" t="s">
        <v>77</v>
      </c>
      <c r="C60" s="157">
        <v>3</v>
      </c>
      <c r="D60" s="97" t="str">
        <f>'[1]Teacher Subject VERT'!G48</f>
        <v>38 PKWU</v>
      </c>
      <c r="E60" s="98" t="str">
        <f>'[1]Teacher Subject VERT'!H48</f>
        <v>56 INF</v>
      </c>
      <c r="F60" s="98" t="str">
        <f>'[1]Teacher Subject VERT'!I48</f>
        <v>14 FSK</v>
      </c>
      <c r="G60" s="98" t="str">
        <f>'[1]Teacher Subject VERT'!J48</f>
        <v>49 GEO</v>
      </c>
      <c r="H60" s="98" t="str">
        <f>'[1]Teacher Subject VERT'!K48</f>
        <v>3 B.IND</v>
      </c>
      <c r="I60" s="98" t="str">
        <f>'[1]Teacher Subject VERT'!L48</f>
        <v>33 EKO</v>
      </c>
      <c r="J60" s="98" t="str">
        <f>'[1]Teacher Subject VERT'!M48</f>
        <v xml:space="preserve">53 MTK </v>
      </c>
      <c r="K60" s="98" t="str">
        <f>'[1]Teacher Subject VERT'!N48</f>
        <v>37 SEJ</v>
      </c>
      <c r="L60" s="98" t="str">
        <f>'[1]Teacher Subject VERT'!O48</f>
        <v>47 SBD</v>
      </c>
      <c r="M60" s="99" t="str">
        <f>'[1]Teacher Subject VERT'!P48</f>
        <v>23 BIO</v>
      </c>
      <c r="N60" s="100" t="str">
        <f>'[1]Teacher Subject VERT'!Q48</f>
        <v>50 PJOK</v>
      </c>
      <c r="O60" s="101" t="str">
        <f>'[1]Teacher Subject VERT'!R48</f>
        <v xml:space="preserve">22 MTK </v>
      </c>
      <c r="P60" s="101" t="str">
        <f>'[1]Teacher Subject VERT'!S48</f>
        <v>30 KIM</v>
      </c>
      <c r="Q60" s="101" t="str">
        <f>'[1]Teacher Subject VERT'!T48</f>
        <v>32 PI</v>
      </c>
      <c r="R60" s="102" t="str">
        <f>'[1]Teacher Subject VERT'!U48</f>
        <v>45 SBD</v>
      </c>
      <c r="S60" s="103" t="str">
        <f>'[1]Teacher Subject VERT'!V48</f>
        <v>48 INF</v>
      </c>
      <c r="T60" s="104" t="str">
        <f>'[1]Teacher Subject VERT'!W48</f>
        <v>42 PJOK</v>
      </c>
      <c r="U60" s="104" t="str">
        <f>'[1]Teacher Subject VERT'!X48</f>
        <v>12 EKO</v>
      </c>
      <c r="V60" s="104" t="str">
        <f>'[1]Teacher Subject VERT'!Y48</f>
        <v>36 ENG</v>
      </c>
      <c r="W60" s="105" t="str">
        <f>'[1]Teacher Subject VERT'!Z48</f>
        <v>41 PAI</v>
      </c>
      <c r="X60" s="106" t="str">
        <f>'[1]Teacher Subject VERT'!AA48</f>
        <v xml:space="preserve">20 MTK </v>
      </c>
      <c r="Y60" s="107" t="str">
        <f>'[1]Teacher Subject VERT'!AB48</f>
        <v>16 KIM</v>
      </c>
      <c r="Z60" s="108" t="str">
        <f>'[1]Teacher Subject VERT'!AC48</f>
        <v>5 ENG</v>
      </c>
      <c r="AA60" s="109" t="str">
        <f>'[1]Teacher Subject VERT'!AD48</f>
        <v>7 PAI</v>
      </c>
      <c r="AB60" s="110" t="str">
        <f>'[1]Teacher Subject VERT'!AE48</f>
        <v>13 SEJ</v>
      </c>
      <c r="AC60" s="111" t="str">
        <f>'[1]Teacher Subject VERT'!AF48</f>
        <v>26 PJOK</v>
      </c>
      <c r="AD60" s="146" t="str">
        <f>'[1]Teacher Subject VERT'!AG48</f>
        <v>25 INF</v>
      </c>
      <c r="AE60" s="113" t="str">
        <f>'[1]Teacher Subject VERT'!AH48</f>
        <v>6 SOS</v>
      </c>
      <c r="AF60" s="113" t="str">
        <f>'[1]Teacher Subject VERT'!AI48</f>
        <v>54 EKO</v>
      </c>
      <c r="AG60" s="114" t="str">
        <f>'[1]Teacher Subject VERT'!AJ48</f>
        <v>10 PAI</v>
      </c>
      <c r="AH60" s="141"/>
    </row>
    <row r="61" spans="1:34" s="133" customFormat="1" ht="20.100000000000001" customHeight="1" x14ac:dyDescent="0.2">
      <c r="A61" s="12"/>
      <c r="B61" s="95" t="s">
        <v>78</v>
      </c>
      <c r="C61" s="157">
        <v>4</v>
      </c>
      <c r="D61" s="97" t="str">
        <f>'[1]Teacher Subject VERT'!G49</f>
        <v>35 PAI</v>
      </c>
      <c r="E61" s="98" t="str">
        <f>'[1]Teacher Subject VERT'!H49</f>
        <v>3 B.IND</v>
      </c>
      <c r="F61" s="98" t="str">
        <f>'[1]Teacher Subject VERT'!I49</f>
        <v>31 GEO</v>
      </c>
      <c r="G61" s="98" t="str">
        <f>'[1]Teacher Subject VERT'!J49</f>
        <v>32 PAI</v>
      </c>
      <c r="H61" s="98" t="str">
        <f>'[1]Teacher Subject VERT'!K49</f>
        <v>38 PKWU</v>
      </c>
      <c r="I61" s="98" t="str">
        <f>'[1]Teacher Subject VERT'!L49</f>
        <v>33 EKO</v>
      </c>
      <c r="J61" s="98" t="str">
        <f>'[1]Teacher Subject VERT'!M49</f>
        <v xml:space="preserve">53 MTK </v>
      </c>
      <c r="K61" s="98" t="str">
        <f>'[1]Teacher Subject VERT'!N49</f>
        <v>48 INF</v>
      </c>
      <c r="L61" s="98" t="str">
        <f>'[1]Teacher Subject VERT'!O49</f>
        <v>37 SEJ</v>
      </c>
      <c r="M61" s="99" t="str">
        <f>'[1]Teacher Subject VERT'!P49</f>
        <v>23 BIO</v>
      </c>
      <c r="N61" s="100" t="str">
        <f>'[1]Teacher Subject VERT'!Q49</f>
        <v>50 PJOK</v>
      </c>
      <c r="O61" s="101" t="str">
        <f>'[1]Teacher Subject VERT'!R49</f>
        <v>15 BIO</v>
      </c>
      <c r="P61" s="101" t="str">
        <f>'[1]Teacher Subject VERT'!S49</f>
        <v>30 KIM</v>
      </c>
      <c r="Q61" s="101" t="str">
        <f>'[1]Teacher Subject VERT'!T49</f>
        <v>9 B.IND</v>
      </c>
      <c r="R61" s="102" t="str">
        <f>'[1]Teacher Subject VERT'!U49</f>
        <v>14 FSK</v>
      </c>
      <c r="S61" s="103" t="str">
        <f>'[1]Teacher Subject VERT'!V49</f>
        <v>12 EKO</v>
      </c>
      <c r="T61" s="104" t="str">
        <f>'[1]Teacher Subject VERT'!W49</f>
        <v>42 PJOK</v>
      </c>
      <c r="U61" s="104" t="str">
        <f>'[1]Teacher Subject VERT'!X49</f>
        <v>27 PKWU</v>
      </c>
      <c r="V61" s="104" t="str">
        <f>'[1]Teacher Subject VERT'!Y49</f>
        <v>36 ENG</v>
      </c>
      <c r="W61" s="105" t="str">
        <f>'[1]Teacher Subject VERT'!Z49</f>
        <v>41 PAI</v>
      </c>
      <c r="X61" s="106" t="str">
        <f>'[1]Teacher Subject VERT'!AA49</f>
        <v>5 ENG</v>
      </c>
      <c r="Y61" s="107" t="str">
        <f>'[1]Teacher Subject VERT'!AB49</f>
        <v xml:space="preserve">20 MTK </v>
      </c>
      <c r="Z61" s="108" t="str">
        <f>'[1]Teacher Subject VERT'!AC49</f>
        <v>16 KIM</v>
      </c>
      <c r="AA61" s="109" t="str">
        <f>'[1]Teacher Subject VERT'!AD49</f>
        <v>7 PAI</v>
      </c>
      <c r="AB61" s="110" t="str">
        <f>'[1]Teacher Subject VERT'!AE49</f>
        <v>47 SBD</v>
      </c>
      <c r="AC61" s="111" t="str">
        <f>'[1]Teacher Subject VERT'!AF49</f>
        <v>26 PJOK</v>
      </c>
      <c r="AD61" s="146" t="str">
        <f>'[1]Teacher Subject VERT'!AG49</f>
        <v>45 SBD</v>
      </c>
      <c r="AE61" s="113" t="str">
        <f>'[1]Teacher Subject VERT'!AH49</f>
        <v>13 SEJ</v>
      </c>
      <c r="AF61" s="113" t="str">
        <f>'[1]Teacher Subject VERT'!AI49</f>
        <v>6 SOS</v>
      </c>
      <c r="AG61" s="114" t="str">
        <f>'[1]Teacher Subject VERT'!AJ49</f>
        <v>10 PAI</v>
      </c>
      <c r="AH61" s="141"/>
    </row>
    <row r="62" spans="1:34" s="133" customFormat="1" ht="20.100000000000001" customHeight="1" thickBot="1" x14ac:dyDescent="0.25">
      <c r="A62" s="12"/>
      <c r="B62" s="95" t="s">
        <v>79</v>
      </c>
      <c r="C62" s="157">
        <v>5</v>
      </c>
      <c r="D62" s="115" t="str">
        <f>'[1]Teacher Subject VERT'!G50</f>
        <v>35 PAI</v>
      </c>
      <c r="E62" s="116" t="str">
        <f>'[1]Teacher Subject VERT'!H50</f>
        <v>3 B.IND</v>
      </c>
      <c r="F62" s="116" t="str">
        <f>'[1]Teacher Subject VERT'!I50</f>
        <v>31 GEO</v>
      </c>
      <c r="G62" s="116" t="str">
        <f>'[1]Teacher Subject VERT'!J50</f>
        <v>32 PAI</v>
      </c>
      <c r="H62" s="116" t="str">
        <f>'[1]Teacher Subject VERT'!K50</f>
        <v>38 PKWU</v>
      </c>
      <c r="I62" s="116" t="str">
        <f>'[1]Teacher Subject VERT'!L50</f>
        <v xml:space="preserve">53 MTK </v>
      </c>
      <c r="J62" s="116" t="str">
        <f>'[1]Teacher Subject VERT'!M50</f>
        <v>23 BIO</v>
      </c>
      <c r="K62" s="116" t="str">
        <f>'[1]Teacher Subject VERT'!N50</f>
        <v>48 INF</v>
      </c>
      <c r="L62" s="116" t="str">
        <f>'[1]Teacher Subject VERT'!O50</f>
        <v>37 SEJ</v>
      </c>
      <c r="M62" s="117" t="str">
        <f>'[1]Teacher Subject VERT'!P50</f>
        <v>49 KIM</v>
      </c>
      <c r="N62" s="118" t="str">
        <f>'[1]Teacher Subject VERT'!Q50</f>
        <v>30 KIM</v>
      </c>
      <c r="O62" s="119" t="str">
        <f>'[1]Teacher Subject VERT'!R50</f>
        <v>15 BIO</v>
      </c>
      <c r="P62" s="119" t="str">
        <f>'[1]Teacher Subject VERT'!S50</f>
        <v>41 PAI</v>
      </c>
      <c r="Q62" s="119" t="str">
        <f>'[1]Teacher Subject VERT'!T50</f>
        <v>9 B.IND</v>
      </c>
      <c r="R62" s="120" t="str">
        <f>'[1]Teacher Subject VERT'!U50</f>
        <v>14 FSK</v>
      </c>
      <c r="S62" s="121" t="str">
        <f>'[1]Teacher Subject VERT'!V50</f>
        <v>12 EKO</v>
      </c>
      <c r="T62" s="122" t="str">
        <f>'[1]Teacher Subject VERT'!W50</f>
        <v>36 ENG</v>
      </c>
      <c r="U62" s="122" t="str">
        <f>'[1]Teacher Subject VERT'!X50</f>
        <v>27 PKWU</v>
      </c>
      <c r="V62" s="122" t="str">
        <f>'[1]Teacher Subject VERT'!Y50</f>
        <v xml:space="preserve">22 MTK </v>
      </c>
      <c r="W62" s="123" t="str">
        <f>'[1]Teacher Subject VERT'!Z50</f>
        <v>42 PJOK</v>
      </c>
      <c r="X62" s="124" t="str">
        <f>'[1]Teacher Subject VERT'!AA50</f>
        <v>5 ENG</v>
      </c>
      <c r="Y62" s="125" t="str">
        <f>'[1]Teacher Subject VERT'!AB50</f>
        <v xml:space="preserve">20 MTK </v>
      </c>
      <c r="Z62" s="126" t="str">
        <f>'[1]Teacher Subject VERT'!AC50</f>
        <v>16 KIM</v>
      </c>
      <c r="AA62" s="127" t="str">
        <f>'[1]Teacher Subject VERT'!AD50</f>
        <v>26 PJOK</v>
      </c>
      <c r="AB62" s="128" t="str">
        <f>'[1]Teacher Subject VERT'!AE50</f>
        <v>47 SBD</v>
      </c>
      <c r="AC62" s="129" t="str">
        <f>'[1]Teacher Subject VERT'!AF50</f>
        <v>10 PAI</v>
      </c>
      <c r="AD62" s="143" t="str">
        <f>'[1]Teacher Subject VERT'!AG50</f>
        <v>45 SBD</v>
      </c>
      <c r="AE62" s="131" t="str">
        <f>'[1]Teacher Subject VERT'!AH50</f>
        <v>13 SEJ</v>
      </c>
      <c r="AF62" s="131" t="str">
        <f>'[1]Teacher Subject VERT'!AI50</f>
        <v>6 SOS</v>
      </c>
      <c r="AG62" s="132" t="str">
        <f>'[1]Teacher Subject VERT'!AJ50</f>
        <v>50 PJOK</v>
      </c>
      <c r="AH62" s="141"/>
    </row>
    <row r="63" spans="1:34" s="133" customFormat="1" ht="15.75" customHeight="1" thickBot="1" x14ac:dyDescent="0.25">
      <c r="A63" s="12"/>
      <c r="B63" s="95" t="s">
        <v>80</v>
      </c>
      <c r="C63" s="158" t="s">
        <v>81</v>
      </c>
      <c r="D63" s="159" t="s">
        <v>40</v>
      </c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7"/>
      <c r="AH63" s="72"/>
    </row>
    <row r="64" spans="1:34" s="133" customFormat="1" ht="20.100000000000001" customHeight="1" x14ac:dyDescent="0.2">
      <c r="A64" s="12"/>
      <c r="B64" s="95" t="s">
        <v>82</v>
      </c>
      <c r="C64" s="157">
        <v>6</v>
      </c>
      <c r="D64" s="76" t="str">
        <f>'[1]Teacher Subject VERT'!G51</f>
        <v>9 B.IND</v>
      </c>
      <c r="E64" s="77" t="str">
        <f>'[1]Teacher Subject VERT'!H51</f>
        <v>35 PAI</v>
      </c>
      <c r="F64" s="77" t="str">
        <f>'[1]Teacher Subject VERT'!I51</f>
        <v>56 INF</v>
      </c>
      <c r="G64" s="77" t="str">
        <f>'[1]Teacher Subject VERT'!J51</f>
        <v>47 SBD</v>
      </c>
      <c r="H64" s="77" t="str">
        <f>'[1]Teacher Subject VERT'!K51</f>
        <v>14 FSK</v>
      </c>
      <c r="I64" s="77" t="str">
        <f>'[1]Teacher Subject VERT'!L51</f>
        <v xml:space="preserve">53 MTK </v>
      </c>
      <c r="J64" s="77" t="str">
        <f>'[1]Teacher Subject VERT'!M51</f>
        <v>23 BIO</v>
      </c>
      <c r="K64" s="77" t="str">
        <f>'[1]Teacher Subject VERT'!N51</f>
        <v>11 SOS</v>
      </c>
      <c r="L64" s="77" t="str">
        <f>'[1]Teacher Subject VERT'!O51</f>
        <v>48 INF</v>
      </c>
      <c r="M64" s="78" t="str">
        <f>'[1]Teacher Subject VERT'!P51</f>
        <v>49 KIM</v>
      </c>
      <c r="N64" s="79" t="str">
        <f>'[1]Teacher Subject VERT'!Q51</f>
        <v>30 KIM</v>
      </c>
      <c r="O64" s="80" t="str">
        <f>'[1]Teacher Subject VERT'!R51</f>
        <v>38 PKWU</v>
      </c>
      <c r="P64" s="80" t="str">
        <f>'[1]Teacher Subject VERT'!S51</f>
        <v>41 PAI</v>
      </c>
      <c r="Q64" s="80" t="str">
        <f>'[1]Teacher Subject VERT'!T51</f>
        <v>33 EKO</v>
      </c>
      <c r="R64" s="81" t="str">
        <f>'[1]Teacher Subject VERT'!U51</f>
        <v>54 EKO</v>
      </c>
      <c r="S64" s="82" t="str">
        <f>'[1]Teacher Subject VERT'!V51</f>
        <v>32 PI</v>
      </c>
      <c r="T64" s="83" t="str">
        <f>'[1]Teacher Subject VERT'!W51</f>
        <v>36 ENG</v>
      </c>
      <c r="U64" s="83" t="str">
        <f>'[1]Teacher Subject VERT'!X51</f>
        <v>45 SBD</v>
      </c>
      <c r="V64" s="83" t="str">
        <f>'[1]Teacher Subject VERT'!Y51</f>
        <v xml:space="preserve">22 MTK </v>
      </c>
      <c r="W64" s="84" t="str">
        <f>'[1]Teacher Subject VERT'!Z51</f>
        <v>42 PJOK</v>
      </c>
      <c r="X64" s="85" t="str">
        <f>'[1]Teacher Subject VERT'!AA51</f>
        <v>16 KIM</v>
      </c>
      <c r="Y64" s="86" t="str">
        <f>'[1]Teacher Subject VERT'!AB51</f>
        <v>5 ENG</v>
      </c>
      <c r="Z64" s="87" t="str">
        <f>'[1]Teacher Subject VERT'!AC51</f>
        <v xml:space="preserve">20 MTK </v>
      </c>
      <c r="AA64" s="88" t="str">
        <f>'[1]Teacher Subject VERT'!AD51</f>
        <v>26 PJOK</v>
      </c>
      <c r="AB64" s="89" t="str">
        <f>'[1]Teacher Subject VERT'!AE51</f>
        <v>25 INF</v>
      </c>
      <c r="AC64" s="90" t="str">
        <f>'[1]Teacher Subject VERT'!AF51</f>
        <v>10 PAI</v>
      </c>
      <c r="AD64" s="140" t="str">
        <f>'[1]Teacher Subject VERT'!AG51</f>
        <v>6 SOS</v>
      </c>
      <c r="AE64" s="92" t="str">
        <f>'[1]Teacher Subject VERT'!AH51</f>
        <v>27 PKWU</v>
      </c>
      <c r="AF64" s="92" t="str">
        <f>'[1]Teacher Subject VERT'!AI51</f>
        <v>15 BIO</v>
      </c>
      <c r="AG64" s="93" t="str">
        <f>'[1]Teacher Subject VERT'!AJ51</f>
        <v>50 PJOK</v>
      </c>
      <c r="AH64" s="141"/>
    </row>
    <row r="65" spans="1:34" s="133" customFormat="1" ht="20.100000000000001" customHeight="1" thickBot="1" x14ac:dyDescent="0.25">
      <c r="A65" s="12"/>
      <c r="B65" s="95" t="s">
        <v>83</v>
      </c>
      <c r="C65" s="157">
        <v>7</v>
      </c>
      <c r="D65" s="115" t="str">
        <f>'[1]Teacher Subject VERT'!G52</f>
        <v>9 B.IND</v>
      </c>
      <c r="E65" s="116" t="str">
        <f>'[1]Teacher Subject VERT'!H52</f>
        <v>35 PAI</v>
      </c>
      <c r="F65" s="116" t="str">
        <f>'[1]Teacher Subject VERT'!I52</f>
        <v>56 INF</v>
      </c>
      <c r="G65" s="116" t="str">
        <f>'[1]Teacher Subject VERT'!J52</f>
        <v>47 SBD</v>
      </c>
      <c r="H65" s="116" t="str">
        <f>'[1]Teacher Subject VERT'!K52</f>
        <v>14 FSK</v>
      </c>
      <c r="I65" s="116" t="str">
        <f>'[1]Teacher Subject VERT'!L52</f>
        <v xml:space="preserve">53 MTK </v>
      </c>
      <c r="J65" s="116" t="str">
        <f>'[1]Teacher Subject VERT'!M52</f>
        <v>23 BIO</v>
      </c>
      <c r="K65" s="116" t="str">
        <f>'[1]Teacher Subject VERT'!N52</f>
        <v>11 SOS</v>
      </c>
      <c r="L65" s="116" t="str">
        <f>'[1]Teacher Subject VERT'!O52</f>
        <v>48 INF</v>
      </c>
      <c r="M65" s="117" t="str">
        <f>'[1]Teacher Subject VERT'!P52</f>
        <v>49 KIM</v>
      </c>
      <c r="N65" s="118" t="str">
        <f>'[1]Teacher Subject VERT'!Q52</f>
        <v>30 KIM</v>
      </c>
      <c r="O65" s="119" t="str">
        <f>'[1]Teacher Subject VERT'!R52</f>
        <v>38 PKWU</v>
      </c>
      <c r="P65" s="119" t="str">
        <f>'[1]Teacher Subject VERT'!S52</f>
        <v>41 PAI</v>
      </c>
      <c r="Q65" s="119" t="str">
        <f>'[1]Teacher Subject VERT'!T52</f>
        <v>33 EKO</v>
      </c>
      <c r="R65" s="120" t="str">
        <f>'[1]Teacher Subject VERT'!U52</f>
        <v>54 EKO</v>
      </c>
      <c r="S65" s="121" t="str">
        <f>'[1]Teacher Subject VERT'!V52</f>
        <v>32 PI</v>
      </c>
      <c r="T65" s="122" t="str">
        <f>'[1]Teacher Subject VERT'!W52</f>
        <v>36 ENG</v>
      </c>
      <c r="U65" s="122" t="str">
        <f>'[1]Teacher Subject VERT'!X52</f>
        <v>45 SBD</v>
      </c>
      <c r="V65" s="122" t="str">
        <f>'[1]Teacher Subject VERT'!Y52</f>
        <v xml:space="preserve">22 MTK </v>
      </c>
      <c r="W65" s="123" t="str">
        <f>'[1]Teacher Subject VERT'!Z52</f>
        <v>42 PJOK</v>
      </c>
      <c r="X65" s="124" t="str">
        <f>'[1]Teacher Subject VERT'!AA52</f>
        <v>16 KIM</v>
      </c>
      <c r="Y65" s="125" t="str">
        <f>'[1]Teacher Subject VERT'!AB52</f>
        <v>5 ENG</v>
      </c>
      <c r="Z65" s="126" t="str">
        <f>'[1]Teacher Subject VERT'!AC52</f>
        <v xml:space="preserve">20 MTK </v>
      </c>
      <c r="AA65" s="127" t="str">
        <f>'[1]Teacher Subject VERT'!AD52</f>
        <v>26 PJOK</v>
      </c>
      <c r="AB65" s="128" t="str">
        <f>'[1]Teacher Subject VERT'!AE52</f>
        <v>25 INF</v>
      </c>
      <c r="AC65" s="129" t="str">
        <f>'[1]Teacher Subject VERT'!AF52</f>
        <v>10 PAI</v>
      </c>
      <c r="AD65" s="143" t="str">
        <f>'[1]Teacher Subject VERT'!AG52</f>
        <v>6 SOS</v>
      </c>
      <c r="AE65" s="131" t="str">
        <f>'[1]Teacher Subject VERT'!AH52</f>
        <v>27 PKWU</v>
      </c>
      <c r="AF65" s="131" t="str">
        <f>'[1]Teacher Subject VERT'!AI52</f>
        <v>15 BIO</v>
      </c>
      <c r="AG65" s="132" t="str">
        <f>'[1]Teacher Subject VERT'!AJ52</f>
        <v>50 PJOK</v>
      </c>
      <c r="AH65" s="141"/>
    </row>
    <row r="66" spans="1:34" s="133" customFormat="1" ht="0.75" customHeight="1" thickBot="1" x14ac:dyDescent="0.25">
      <c r="A66" s="45"/>
      <c r="B66" s="149" t="s">
        <v>84</v>
      </c>
      <c r="C66" s="181"/>
      <c r="D66" s="162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4"/>
      <c r="AH66" s="141"/>
    </row>
    <row r="67" spans="1:34" s="182" customFormat="1" ht="9" customHeight="1" thickBot="1" x14ac:dyDescent="0.25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5"/>
      <c r="AH67" s="11"/>
    </row>
    <row r="68" spans="1:34" ht="18.75" customHeight="1" x14ac:dyDescent="0.2">
      <c r="A68" s="186" t="s">
        <v>85</v>
      </c>
      <c r="B68" s="187" t="s">
        <v>86</v>
      </c>
      <c r="C68" s="188"/>
      <c r="D68" s="189" t="s">
        <v>85</v>
      </c>
      <c r="E68" s="190" t="s">
        <v>87</v>
      </c>
      <c r="F68" s="191"/>
      <c r="G68" s="191"/>
      <c r="H68" s="191"/>
      <c r="I68" s="191"/>
      <c r="J68" s="191"/>
      <c r="K68" s="192"/>
      <c r="L68" s="192"/>
      <c r="M68" s="189" t="s">
        <v>85</v>
      </c>
      <c r="N68" s="193" t="s">
        <v>87</v>
      </c>
      <c r="O68" s="194"/>
      <c r="P68" s="194"/>
      <c r="Q68" s="194"/>
      <c r="R68" s="194"/>
      <c r="S68" s="194"/>
      <c r="T68" s="194"/>
      <c r="U68" s="195"/>
      <c r="V68" s="189" t="s">
        <v>85</v>
      </c>
      <c r="W68" s="193" t="s">
        <v>88</v>
      </c>
      <c r="X68" s="194"/>
      <c r="Y68" s="194"/>
      <c r="Z68" s="194"/>
      <c r="AA68" s="194"/>
      <c r="AB68" s="194"/>
      <c r="AC68" s="194"/>
      <c r="AD68" s="194"/>
      <c r="AE68" s="194"/>
      <c r="AF68" s="194"/>
      <c r="AG68" s="196"/>
      <c r="AH68" s="197"/>
    </row>
    <row r="69" spans="1:34" ht="16.5" customHeight="1" x14ac:dyDescent="0.2">
      <c r="A69" s="198">
        <v>1</v>
      </c>
      <c r="B69" s="199" t="str">
        <f t="shared" ref="B69:B83" si="0">VLOOKUP(A69,gurue,2,FALSE)</f>
        <v>Edi Kocowahono, S.Pd, MM</v>
      </c>
      <c r="C69" s="200"/>
      <c r="D69" s="201">
        <v>16</v>
      </c>
      <c r="E69" s="202" t="str">
        <f t="shared" ref="E69:E83" si="1">VLOOKUP(D69,gurue,2,FALSE)</f>
        <v>Mukhlish,ST,M.Pd</v>
      </c>
      <c r="F69" s="202"/>
      <c r="G69" s="202" t="e">
        <f t="shared" ref="G69:G83" si="2">VLOOKUP(F69,gurue,2,FALSE)</f>
        <v>#N/A</v>
      </c>
      <c r="H69" s="202"/>
      <c r="I69" s="202" t="e">
        <f t="shared" ref="I69:I83" si="3">VLOOKUP(H69,gurue,2,FALSE)</f>
        <v>#N/A</v>
      </c>
      <c r="J69" s="202"/>
      <c r="K69" s="202" t="e">
        <f t="shared" ref="K69:K83" si="4">VLOOKUP(J69,gurue,2,FALSE)</f>
        <v>#N/A</v>
      </c>
      <c r="L69" s="202"/>
      <c r="M69" s="203">
        <v>31</v>
      </c>
      <c r="N69" s="199" t="str">
        <f t="shared" ref="N69:N83" si="5">VLOOKUP(M69,gurue,2,FALSE)</f>
        <v>Rahmatullah,S.Pd</v>
      </c>
      <c r="O69" s="204"/>
      <c r="P69" s="204" t="e">
        <f t="shared" ref="P69:P83" si="6">VLOOKUP(O69,gurue,2,FALSE)</f>
        <v>#N/A</v>
      </c>
      <c r="Q69" s="204"/>
      <c r="R69" s="204" t="e">
        <f t="shared" ref="R69:R83" si="7">VLOOKUP(Q69,gurue,2,FALSE)</f>
        <v>#N/A</v>
      </c>
      <c r="S69" s="204"/>
      <c r="T69" s="204" t="e">
        <f t="shared" ref="T69:T83" si="8">VLOOKUP(S69,gurue,2,FALSE)</f>
        <v>#N/A</v>
      </c>
      <c r="U69" s="200"/>
      <c r="V69" s="203">
        <v>46</v>
      </c>
      <c r="W69" s="199" t="str">
        <f t="shared" ref="W69:W79" si="9">VLOOKUP(V69,gurue,2,TRUE)</f>
        <v>Eva Muzdalifah, S.Psi</v>
      </c>
      <c r="X69" s="204"/>
      <c r="Y69" s="204"/>
      <c r="Z69" s="204"/>
      <c r="AA69" s="204"/>
      <c r="AB69" s="204"/>
      <c r="AC69" s="204"/>
      <c r="AD69" s="204"/>
      <c r="AE69" s="204"/>
      <c r="AF69" s="204"/>
      <c r="AG69" s="205"/>
      <c r="AH69" s="206"/>
    </row>
    <row r="70" spans="1:34" ht="16.5" customHeight="1" x14ac:dyDescent="0.2">
      <c r="A70" s="198">
        <v>2</v>
      </c>
      <c r="B70" s="199" t="str">
        <f t="shared" si="0"/>
        <v>Drs. H. Asep Sopiyandi ,M.Pd</v>
      </c>
      <c r="C70" s="200"/>
      <c r="D70" s="201">
        <v>17</v>
      </c>
      <c r="E70" s="202" t="str">
        <f t="shared" si="1"/>
        <v>Eer Humairoh, S.Pd</v>
      </c>
      <c r="F70" s="202"/>
      <c r="G70" s="202" t="e">
        <f t="shared" si="2"/>
        <v>#N/A</v>
      </c>
      <c r="H70" s="202"/>
      <c r="I70" s="202" t="e">
        <f t="shared" si="3"/>
        <v>#N/A</v>
      </c>
      <c r="J70" s="202"/>
      <c r="K70" s="202" t="e">
        <f t="shared" si="4"/>
        <v>#N/A</v>
      </c>
      <c r="L70" s="202"/>
      <c r="M70" s="203">
        <v>32</v>
      </c>
      <c r="N70" s="199" t="str">
        <f t="shared" si="5"/>
        <v>Hj. Fatmawati, S.Hum, M.Pd</v>
      </c>
      <c r="O70" s="204"/>
      <c r="P70" s="204" t="e">
        <f t="shared" si="6"/>
        <v>#N/A</v>
      </c>
      <c r="Q70" s="204"/>
      <c r="R70" s="204" t="e">
        <f t="shared" si="7"/>
        <v>#N/A</v>
      </c>
      <c r="S70" s="204"/>
      <c r="T70" s="204" t="e">
        <f t="shared" si="8"/>
        <v>#N/A</v>
      </c>
      <c r="U70" s="200"/>
      <c r="V70" s="203">
        <v>47</v>
      </c>
      <c r="W70" s="199" t="str">
        <f t="shared" si="9"/>
        <v>Dyah Kartika Sari, S.Pd</v>
      </c>
      <c r="X70" s="204"/>
      <c r="Y70" s="204"/>
      <c r="Z70" s="204"/>
      <c r="AA70" s="204"/>
      <c r="AB70" s="204"/>
      <c r="AC70" s="204"/>
      <c r="AD70" s="204"/>
      <c r="AE70" s="204"/>
      <c r="AF70" s="204"/>
      <c r="AG70" s="205"/>
      <c r="AH70" s="206"/>
    </row>
    <row r="71" spans="1:34" ht="16.5" customHeight="1" x14ac:dyDescent="0.2">
      <c r="A71" s="198">
        <v>3</v>
      </c>
      <c r="B71" s="199" t="str">
        <f t="shared" si="0"/>
        <v>Drs. Hasan Basri ,M.Pd</v>
      </c>
      <c r="C71" s="200"/>
      <c r="D71" s="201">
        <v>18</v>
      </c>
      <c r="E71" s="202" t="str">
        <f t="shared" si="1"/>
        <v>Hj. Mariya Ulfah, S.Psi</v>
      </c>
      <c r="F71" s="202"/>
      <c r="G71" s="202" t="e">
        <f t="shared" si="2"/>
        <v>#N/A</v>
      </c>
      <c r="H71" s="202"/>
      <c r="I71" s="202" t="e">
        <f t="shared" si="3"/>
        <v>#N/A</v>
      </c>
      <c r="J71" s="202"/>
      <c r="K71" s="202" t="e">
        <f t="shared" si="4"/>
        <v>#N/A</v>
      </c>
      <c r="L71" s="202"/>
      <c r="M71" s="203">
        <v>33</v>
      </c>
      <c r="N71" s="199" t="str">
        <f t="shared" si="5"/>
        <v>Nurjannah Triastuti Rahajeng, S.Hi</v>
      </c>
      <c r="O71" s="204"/>
      <c r="P71" s="204" t="e">
        <f t="shared" si="6"/>
        <v>#N/A</v>
      </c>
      <c r="Q71" s="204"/>
      <c r="R71" s="204" t="e">
        <f t="shared" si="7"/>
        <v>#N/A</v>
      </c>
      <c r="S71" s="204"/>
      <c r="T71" s="204" t="e">
        <f t="shared" si="8"/>
        <v>#N/A</v>
      </c>
      <c r="U71" s="200"/>
      <c r="V71" s="203">
        <v>48</v>
      </c>
      <c r="W71" s="199" t="str">
        <f t="shared" si="9"/>
        <v>Nur Fairuz Fatin, S.Pd</v>
      </c>
      <c r="X71" s="204"/>
      <c r="Y71" s="204"/>
      <c r="Z71" s="204"/>
      <c r="AA71" s="204"/>
      <c r="AB71" s="204"/>
      <c r="AC71" s="204"/>
      <c r="AD71" s="204"/>
      <c r="AE71" s="204"/>
      <c r="AF71" s="204"/>
      <c r="AG71" s="205"/>
      <c r="AH71" s="206"/>
    </row>
    <row r="72" spans="1:34" ht="16.5" customHeight="1" x14ac:dyDescent="0.2">
      <c r="A72" s="198">
        <v>4</v>
      </c>
      <c r="B72" s="199" t="str">
        <f t="shared" si="0"/>
        <v>Iri Setiawan,  MM.Pd</v>
      </c>
      <c r="C72" s="200"/>
      <c r="D72" s="201">
        <v>19</v>
      </c>
      <c r="E72" s="202" t="str">
        <f t="shared" si="1"/>
        <v>Asep Kurniawan, S.Pd</v>
      </c>
      <c r="F72" s="202"/>
      <c r="G72" s="202" t="e">
        <f t="shared" si="2"/>
        <v>#N/A</v>
      </c>
      <c r="H72" s="202"/>
      <c r="I72" s="202" t="e">
        <f t="shared" si="3"/>
        <v>#N/A</v>
      </c>
      <c r="J72" s="202"/>
      <c r="K72" s="202" t="e">
        <f t="shared" si="4"/>
        <v>#N/A</v>
      </c>
      <c r="L72" s="202"/>
      <c r="M72" s="203">
        <v>34</v>
      </c>
      <c r="N72" s="199" t="str">
        <f t="shared" si="5"/>
        <v>Iha Musliha, S.Sos</v>
      </c>
      <c r="O72" s="204"/>
      <c r="P72" s="204" t="e">
        <f t="shared" si="6"/>
        <v>#N/A</v>
      </c>
      <c r="Q72" s="204"/>
      <c r="R72" s="204" t="e">
        <f t="shared" si="7"/>
        <v>#N/A</v>
      </c>
      <c r="S72" s="204"/>
      <c r="T72" s="204" t="e">
        <f t="shared" si="8"/>
        <v>#N/A</v>
      </c>
      <c r="U72" s="200"/>
      <c r="V72" s="203">
        <v>49</v>
      </c>
      <c r="W72" s="199" t="str">
        <f t="shared" si="9"/>
        <v>Lutfah, ST</v>
      </c>
      <c r="X72" s="204"/>
      <c r="Y72" s="204"/>
      <c r="Z72" s="204"/>
      <c r="AA72" s="204"/>
      <c r="AB72" s="204"/>
      <c r="AC72" s="204"/>
      <c r="AD72" s="204"/>
      <c r="AE72" s="204"/>
      <c r="AF72" s="204"/>
      <c r="AG72" s="205"/>
      <c r="AH72" s="206"/>
    </row>
    <row r="73" spans="1:34" ht="16.5" customHeight="1" x14ac:dyDescent="0.2">
      <c r="A73" s="198">
        <v>5</v>
      </c>
      <c r="B73" s="199" t="str">
        <f t="shared" si="0"/>
        <v>Dra.Hj. Isnaini Nasuka R,M.Pd</v>
      </c>
      <c r="C73" s="200"/>
      <c r="D73" s="201">
        <v>20</v>
      </c>
      <c r="E73" s="202" t="str">
        <f t="shared" si="1"/>
        <v>Herni Wahyuni,S.Pd</v>
      </c>
      <c r="F73" s="202"/>
      <c r="G73" s="202" t="e">
        <f t="shared" si="2"/>
        <v>#N/A</v>
      </c>
      <c r="H73" s="202"/>
      <c r="I73" s="202" t="e">
        <f t="shared" si="3"/>
        <v>#N/A</v>
      </c>
      <c r="J73" s="202"/>
      <c r="K73" s="202" t="e">
        <f t="shared" si="4"/>
        <v>#N/A</v>
      </c>
      <c r="L73" s="202"/>
      <c r="M73" s="203">
        <v>35</v>
      </c>
      <c r="N73" s="199" t="str">
        <f t="shared" si="5"/>
        <v>Nurul Anwar, S.Pd</v>
      </c>
      <c r="O73" s="204"/>
      <c r="P73" s="204" t="e">
        <f t="shared" si="6"/>
        <v>#N/A</v>
      </c>
      <c r="Q73" s="204"/>
      <c r="R73" s="204" t="e">
        <f t="shared" si="7"/>
        <v>#N/A</v>
      </c>
      <c r="S73" s="204"/>
      <c r="T73" s="204" t="e">
        <f t="shared" si="8"/>
        <v>#N/A</v>
      </c>
      <c r="U73" s="200"/>
      <c r="V73" s="203">
        <v>50</v>
      </c>
      <c r="W73" s="199" t="str">
        <f t="shared" si="9"/>
        <v>M.Fatkhul Alam  Ori,S.Pd</v>
      </c>
      <c r="X73" s="204"/>
      <c r="Y73" s="204"/>
      <c r="Z73" s="204"/>
      <c r="AA73" s="204"/>
      <c r="AB73" s="204"/>
      <c r="AC73" s="204"/>
      <c r="AD73" s="204"/>
      <c r="AE73" s="204"/>
      <c r="AF73" s="204"/>
      <c r="AG73" s="205"/>
      <c r="AH73" s="206"/>
    </row>
    <row r="74" spans="1:34" ht="16.5" customHeight="1" x14ac:dyDescent="0.2">
      <c r="A74" s="198">
        <v>6</v>
      </c>
      <c r="B74" s="199" t="str">
        <f t="shared" si="0"/>
        <v>H. Mulyadi,S.Pd,MM</v>
      </c>
      <c r="C74" s="200"/>
      <c r="D74" s="201">
        <v>21</v>
      </c>
      <c r="E74" s="202" t="str">
        <f t="shared" si="1"/>
        <v>Ihsana Romadlon,S.Pd</v>
      </c>
      <c r="F74" s="202"/>
      <c r="G74" s="202" t="e">
        <f t="shared" si="2"/>
        <v>#N/A</v>
      </c>
      <c r="H74" s="202"/>
      <c r="I74" s="202" t="e">
        <f t="shared" si="3"/>
        <v>#N/A</v>
      </c>
      <c r="J74" s="202"/>
      <c r="K74" s="202" t="e">
        <f t="shared" si="4"/>
        <v>#N/A</v>
      </c>
      <c r="L74" s="202"/>
      <c r="M74" s="203">
        <v>36</v>
      </c>
      <c r="N74" s="199" t="str">
        <f t="shared" si="5"/>
        <v>Anisatul Hathroh, S.Pd</v>
      </c>
      <c r="O74" s="204"/>
      <c r="P74" s="204" t="e">
        <f t="shared" si="6"/>
        <v>#N/A</v>
      </c>
      <c r="Q74" s="204"/>
      <c r="R74" s="204" t="e">
        <f t="shared" si="7"/>
        <v>#N/A</v>
      </c>
      <c r="S74" s="204"/>
      <c r="T74" s="204" t="e">
        <f t="shared" si="8"/>
        <v>#N/A</v>
      </c>
      <c r="U74" s="200"/>
      <c r="V74" s="203">
        <v>51</v>
      </c>
      <c r="W74" s="199" t="str">
        <f t="shared" si="9"/>
        <v>Yunda Walida P,S.Pd</v>
      </c>
      <c r="X74" s="204"/>
      <c r="Y74" s="204"/>
      <c r="Z74" s="204"/>
      <c r="AA74" s="204"/>
      <c r="AB74" s="204"/>
      <c r="AC74" s="204"/>
      <c r="AD74" s="204"/>
      <c r="AE74" s="204"/>
      <c r="AF74" s="204"/>
      <c r="AG74" s="205"/>
      <c r="AH74" s="206"/>
    </row>
    <row r="75" spans="1:34" ht="16.5" customHeight="1" x14ac:dyDescent="0.2">
      <c r="A75" s="198">
        <v>7</v>
      </c>
      <c r="B75" s="199" t="str">
        <f t="shared" si="0"/>
        <v>A. Taufik. H, M.Pd</v>
      </c>
      <c r="C75" s="200"/>
      <c r="D75" s="201">
        <v>22</v>
      </c>
      <c r="E75" s="202" t="str">
        <f t="shared" si="1"/>
        <v>Enih Sulastri,S.Pd</v>
      </c>
      <c r="F75" s="202"/>
      <c r="G75" s="202" t="e">
        <f t="shared" si="2"/>
        <v>#N/A</v>
      </c>
      <c r="H75" s="202"/>
      <c r="I75" s="202" t="e">
        <f t="shared" si="3"/>
        <v>#N/A</v>
      </c>
      <c r="J75" s="202"/>
      <c r="K75" s="202" t="e">
        <f t="shared" si="4"/>
        <v>#N/A</v>
      </c>
      <c r="L75" s="202"/>
      <c r="M75" s="203">
        <v>37</v>
      </c>
      <c r="N75" s="199" t="str">
        <f t="shared" si="5"/>
        <v>Rokilah, S.Hum</v>
      </c>
      <c r="O75" s="204"/>
      <c r="P75" s="204" t="e">
        <f t="shared" si="6"/>
        <v>#N/A</v>
      </c>
      <c r="Q75" s="204"/>
      <c r="R75" s="204" t="e">
        <f t="shared" si="7"/>
        <v>#N/A</v>
      </c>
      <c r="S75" s="204"/>
      <c r="T75" s="204" t="e">
        <f t="shared" si="8"/>
        <v>#N/A</v>
      </c>
      <c r="U75" s="200"/>
      <c r="V75" s="203">
        <v>52</v>
      </c>
      <c r="W75" s="199" t="str">
        <f t="shared" si="9"/>
        <v>Ifat Kasyifaturrohmah,M.Pd</v>
      </c>
      <c r="X75" s="204"/>
      <c r="Y75" s="204"/>
      <c r="Z75" s="204"/>
      <c r="AA75" s="204"/>
      <c r="AB75" s="204"/>
      <c r="AC75" s="204"/>
      <c r="AD75" s="204"/>
      <c r="AE75" s="204"/>
      <c r="AF75" s="204"/>
      <c r="AG75" s="205"/>
      <c r="AH75" s="206"/>
    </row>
    <row r="76" spans="1:34" ht="16.5" customHeight="1" x14ac:dyDescent="0.2">
      <c r="A76" s="198">
        <v>8</v>
      </c>
      <c r="B76" s="199" t="str">
        <f t="shared" si="0"/>
        <v>Rani Laetamani, S.Pd</v>
      </c>
      <c r="C76" s="200"/>
      <c r="D76" s="201">
        <v>23</v>
      </c>
      <c r="E76" s="202" t="str">
        <f t="shared" si="1"/>
        <v>Neng Astry Mediana,S.Pd, M.Pd</v>
      </c>
      <c r="F76" s="202"/>
      <c r="G76" s="202" t="e">
        <f t="shared" si="2"/>
        <v>#N/A</v>
      </c>
      <c r="H76" s="202"/>
      <c r="I76" s="202" t="e">
        <f t="shared" si="3"/>
        <v>#N/A</v>
      </c>
      <c r="J76" s="202"/>
      <c r="K76" s="202" t="e">
        <f t="shared" si="4"/>
        <v>#N/A</v>
      </c>
      <c r="L76" s="202"/>
      <c r="M76" s="203">
        <v>38</v>
      </c>
      <c r="N76" s="199" t="str">
        <f t="shared" si="5"/>
        <v>Rahmat Qurniawan, SE</v>
      </c>
      <c r="O76" s="204"/>
      <c r="P76" s="204" t="e">
        <f t="shared" si="6"/>
        <v>#N/A</v>
      </c>
      <c r="Q76" s="204"/>
      <c r="R76" s="204" t="e">
        <f t="shared" si="7"/>
        <v>#N/A</v>
      </c>
      <c r="S76" s="204"/>
      <c r="T76" s="204" t="e">
        <f t="shared" si="8"/>
        <v>#N/A</v>
      </c>
      <c r="U76" s="200"/>
      <c r="V76" s="203">
        <v>53</v>
      </c>
      <c r="W76" s="199" t="str">
        <f t="shared" si="9"/>
        <v>Veni Sri Nurlita Sari,S.Pd</v>
      </c>
      <c r="X76" s="204"/>
      <c r="Y76" s="204"/>
      <c r="Z76" s="204"/>
      <c r="AA76" s="204"/>
      <c r="AB76" s="204"/>
      <c r="AC76" s="204"/>
      <c r="AD76" s="204"/>
      <c r="AE76" s="204"/>
      <c r="AF76" s="204"/>
      <c r="AG76" s="205"/>
      <c r="AH76" s="206"/>
    </row>
    <row r="77" spans="1:34" ht="16.5" customHeight="1" x14ac:dyDescent="0.2">
      <c r="A77" s="198">
        <v>9</v>
      </c>
      <c r="B77" s="199" t="str">
        <f t="shared" si="0"/>
        <v xml:space="preserve">Drs.H. Hawar </v>
      </c>
      <c r="C77" s="200"/>
      <c r="D77" s="201">
        <v>24</v>
      </c>
      <c r="E77" s="202" t="str">
        <f t="shared" si="1"/>
        <v>Iis Khaerunisah,S.Pd</v>
      </c>
      <c r="F77" s="202"/>
      <c r="G77" s="202" t="e">
        <f t="shared" si="2"/>
        <v>#N/A</v>
      </c>
      <c r="H77" s="202"/>
      <c r="I77" s="202" t="e">
        <f t="shared" si="3"/>
        <v>#N/A</v>
      </c>
      <c r="J77" s="202"/>
      <c r="K77" s="202" t="e">
        <f t="shared" si="4"/>
        <v>#N/A</v>
      </c>
      <c r="L77" s="202"/>
      <c r="M77" s="203">
        <v>39</v>
      </c>
      <c r="N77" s="199" t="str">
        <f t="shared" si="5"/>
        <v>Ali Sudirman, S.Pd</v>
      </c>
      <c r="O77" s="204"/>
      <c r="P77" s="204" t="e">
        <f t="shared" si="6"/>
        <v>#N/A</v>
      </c>
      <c r="Q77" s="204"/>
      <c r="R77" s="204" t="e">
        <f t="shared" si="7"/>
        <v>#N/A</v>
      </c>
      <c r="S77" s="204"/>
      <c r="T77" s="204" t="e">
        <f t="shared" si="8"/>
        <v>#N/A</v>
      </c>
      <c r="U77" s="200"/>
      <c r="V77" s="203">
        <v>54</v>
      </c>
      <c r="W77" s="199" t="str">
        <f t="shared" si="9"/>
        <v>Amimah,SM</v>
      </c>
      <c r="X77" s="204"/>
      <c r="Y77" s="204"/>
      <c r="Z77" s="204"/>
      <c r="AA77" s="204"/>
      <c r="AB77" s="204"/>
      <c r="AC77" s="204"/>
      <c r="AD77" s="204"/>
      <c r="AE77" s="204"/>
      <c r="AF77" s="204"/>
      <c r="AG77" s="205"/>
      <c r="AH77" s="206"/>
    </row>
    <row r="78" spans="1:34" ht="16.5" customHeight="1" x14ac:dyDescent="0.2">
      <c r="A78" s="207">
        <v>10</v>
      </c>
      <c r="B78" s="199" t="str">
        <f t="shared" si="0"/>
        <v xml:space="preserve">H. Kasir, S.Pd </v>
      </c>
      <c r="C78" s="200"/>
      <c r="D78" s="201">
        <v>25</v>
      </c>
      <c r="E78" s="202" t="str">
        <f t="shared" si="1"/>
        <v xml:space="preserve">Prayogo, S.Kom </v>
      </c>
      <c r="F78" s="202"/>
      <c r="G78" s="202" t="e">
        <f t="shared" si="2"/>
        <v>#N/A</v>
      </c>
      <c r="H78" s="202"/>
      <c r="I78" s="202" t="e">
        <f t="shared" si="3"/>
        <v>#N/A</v>
      </c>
      <c r="J78" s="202"/>
      <c r="K78" s="202" t="e">
        <f t="shared" si="4"/>
        <v>#N/A</v>
      </c>
      <c r="L78" s="202"/>
      <c r="M78" s="203">
        <v>40</v>
      </c>
      <c r="N78" s="199" t="str">
        <f t="shared" si="5"/>
        <v>Mukhlisin, SE</v>
      </c>
      <c r="O78" s="204"/>
      <c r="P78" s="204" t="e">
        <f t="shared" si="6"/>
        <v>#N/A</v>
      </c>
      <c r="Q78" s="204"/>
      <c r="R78" s="204" t="e">
        <f t="shared" si="7"/>
        <v>#N/A</v>
      </c>
      <c r="S78" s="204"/>
      <c r="T78" s="204" t="e">
        <f t="shared" si="8"/>
        <v>#N/A</v>
      </c>
      <c r="U78" s="200"/>
      <c r="V78" s="203">
        <v>55</v>
      </c>
      <c r="W78" s="199" t="str">
        <f t="shared" si="9"/>
        <v>Rosalina,S.Pd</v>
      </c>
      <c r="X78" s="204"/>
      <c r="Y78" s="204"/>
      <c r="Z78" s="204"/>
      <c r="AA78" s="204"/>
      <c r="AB78" s="204"/>
      <c r="AC78" s="204"/>
      <c r="AD78" s="204"/>
      <c r="AE78" s="204"/>
      <c r="AF78" s="204"/>
      <c r="AG78" s="205"/>
      <c r="AH78" s="206"/>
    </row>
    <row r="79" spans="1:34" ht="16.5" customHeight="1" x14ac:dyDescent="0.2">
      <c r="A79" s="207">
        <v>11</v>
      </c>
      <c r="B79" s="199" t="str">
        <f t="shared" si="0"/>
        <v>Yayad Ginting, S.IP</v>
      </c>
      <c r="C79" s="200"/>
      <c r="D79" s="201">
        <v>26</v>
      </c>
      <c r="E79" s="202" t="str">
        <f t="shared" si="1"/>
        <v>Safili,S.Pd</v>
      </c>
      <c r="F79" s="202"/>
      <c r="G79" s="202" t="e">
        <f t="shared" si="2"/>
        <v>#N/A</v>
      </c>
      <c r="H79" s="202"/>
      <c r="I79" s="202" t="e">
        <f t="shared" si="3"/>
        <v>#N/A</v>
      </c>
      <c r="J79" s="202"/>
      <c r="K79" s="202" t="e">
        <f t="shared" si="4"/>
        <v>#N/A</v>
      </c>
      <c r="L79" s="202"/>
      <c r="M79" s="203">
        <v>41</v>
      </c>
      <c r="N79" s="199" t="str">
        <f t="shared" si="5"/>
        <v>Patmawati, S.Pd.I, M.Pd</v>
      </c>
      <c r="O79" s="204"/>
      <c r="P79" s="204" t="e">
        <f t="shared" si="6"/>
        <v>#N/A</v>
      </c>
      <c r="Q79" s="204"/>
      <c r="R79" s="204" t="e">
        <f t="shared" si="7"/>
        <v>#N/A</v>
      </c>
      <c r="S79" s="204"/>
      <c r="T79" s="204" t="e">
        <f t="shared" si="8"/>
        <v>#N/A</v>
      </c>
      <c r="U79" s="200"/>
      <c r="V79" s="203">
        <v>56</v>
      </c>
      <c r="W79" s="199" t="str">
        <f t="shared" si="9"/>
        <v>Muhamad Sopiyudin,S.Pd</v>
      </c>
      <c r="X79" s="204"/>
      <c r="Y79" s="204"/>
      <c r="Z79" s="204"/>
      <c r="AA79" s="204"/>
      <c r="AB79" s="204"/>
      <c r="AC79" s="204"/>
      <c r="AD79" s="204"/>
      <c r="AE79" s="204"/>
      <c r="AF79" s="204"/>
      <c r="AG79" s="205"/>
      <c r="AH79" s="208"/>
    </row>
    <row r="80" spans="1:34" ht="16.5" customHeight="1" x14ac:dyDescent="0.2">
      <c r="A80" s="207">
        <v>12</v>
      </c>
      <c r="B80" s="199" t="str">
        <f t="shared" si="0"/>
        <v>Hj. Nur Emiliyah, SE</v>
      </c>
      <c r="C80" s="200"/>
      <c r="D80" s="201">
        <v>27</v>
      </c>
      <c r="E80" s="202" t="str">
        <f t="shared" si="1"/>
        <v>Fikri Burhani,SE</v>
      </c>
      <c r="F80" s="202"/>
      <c r="G80" s="202" t="e">
        <f t="shared" si="2"/>
        <v>#N/A</v>
      </c>
      <c r="H80" s="202"/>
      <c r="I80" s="202" t="e">
        <f t="shared" si="3"/>
        <v>#N/A</v>
      </c>
      <c r="J80" s="202"/>
      <c r="K80" s="202" t="e">
        <f t="shared" si="4"/>
        <v>#N/A</v>
      </c>
      <c r="L80" s="202"/>
      <c r="M80" s="203">
        <v>42</v>
      </c>
      <c r="N80" s="199" t="str">
        <f t="shared" si="5"/>
        <v>Fahrudin, S.Pd</v>
      </c>
      <c r="O80" s="204"/>
      <c r="P80" s="204" t="e">
        <f t="shared" si="6"/>
        <v>#N/A</v>
      </c>
      <c r="Q80" s="204"/>
      <c r="R80" s="204" t="e">
        <f t="shared" si="7"/>
        <v>#N/A</v>
      </c>
      <c r="S80" s="204"/>
      <c r="T80" s="204" t="e">
        <f t="shared" si="8"/>
        <v>#N/A</v>
      </c>
      <c r="U80" s="200"/>
      <c r="V80" s="203"/>
      <c r="W80" s="199"/>
      <c r="X80" s="204"/>
      <c r="Y80" s="204"/>
      <c r="Z80" s="204"/>
      <c r="AA80" s="204"/>
      <c r="AB80" s="204"/>
      <c r="AC80" s="204"/>
      <c r="AD80" s="204"/>
      <c r="AE80" s="204"/>
      <c r="AF80" s="204"/>
      <c r="AG80" s="205"/>
      <c r="AH80" s="208"/>
    </row>
    <row r="81" spans="1:34" ht="16.5" customHeight="1" x14ac:dyDescent="0.2">
      <c r="A81" s="207">
        <v>13</v>
      </c>
      <c r="B81" s="199" t="str">
        <f t="shared" si="0"/>
        <v>Naziyah,S.Pd,M.Pd</v>
      </c>
      <c r="C81" s="200"/>
      <c r="D81" s="201">
        <v>28</v>
      </c>
      <c r="E81" s="202" t="str">
        <f t="shared" si="1"/>
        <v>Sri Zuniar Ningsih,S.H</v>
      </c>
      <c r="F81" s="202"/>
      <c r="G81" s="202" t="e">
        <f t="shared" si="2"/>
        <v>#N/A</v>
      </c>
      <c r="H81" s="202"/>
      <c r="I81" s="202" t="e">
        <f t="shared" si="3"/>
        <v>#N/A</v>
      </c>
      <c r="J81" s="202"/>
      <c r="K81" s="202" t="e">
        <f t="shared" si="4"/>
        <v>#N/A</v>
      </c>
      <c r="L81" s="202"/>
      <c r="M81" s="203">
        <v>43</v>
      </c>
      <c r="N81" s="199" t="str">
        <f t="shared" si="5"/>
        <v>Aulia Rahmawati,S.Pd</v>
      </c>
      <c r="O81" s="204"/>
      <c r="P81" s="204" t="e">
        <f t="shared" si="6"/>
        <v>#N/A</v>
      </c>
      <c r="Q81" s="204"/>
      <c r="R81" s="204" t="e">
        <f t="shared" si="7"/>
        <v>#N/A</v>
      </c>
      <c r="S81" s="204"/>
      <c r="T81" s="204" t="e">
        <f t="shared" si="8"/>
        <v>#N/A</v>
      </c>
      <c r="U81" s="200"/>
      <c r="V81" s="203"/>
      <c r="W81" s="199"/>
      <c r="X81" s="204"/>
      <c r="Y81" s="204"/>
      <c r="Z81" s="204"/>
      <c r="AA81" s="204"/>
      <c r="AB81" s="204"/>
      <c r="AC81" s="204"/>
      <c r="AD81" s="204"/>
      <c r="AE81" s="204"/>
      <c r="AF81" s="204"/>
      <c r="AG81" s="205"/>
      <c r="AH81" s="208"/>
    </row>
    <row r="82" spans="1:34" ht="16.5" customHeight="1" x14ac:dyDescent="0.2">
      <c r="A82" s="207">
        <v>14</v>
      </c>
      <c r="B82" s="199" t="str">
        <f t="shared" si="0"/>
        <v>Arifuddin, S.Pd</v>
      </c>
      <c r="C82" s="200"/>
      <c r="D82" s="201">
        <v>29</v>
      </c>
      <c r="E82" s="202" t="str">
        <f t="shared" si="1"/>
        <v>Nur Kholifah,S.Pd,M.Pd</v>
      </c>
      <c r="F82" s="202"/>
      <c r="G82" s="202" t="e">
        <f t="shared" si="2"/>
        <v>#N/A</v>
      </c>
      <c r="H82" s="202"/>
      <c r="I82" s="202" t="e">
        <f t="shared" si="3"/>
        <v>#N/A</v>
      </c>
      <c r="J82" s="202"/>
      <c r="K82" s="202" t="e">
        <f t="shared" si="4"/>
        <v>#N/A</v>
      </c>
      <c r="L82" s="202"/>
      <c r="M82" s="203">
        <v>44</v>
      </c>
      <c r="N82" s="199" t="str">
        <f t="shared" si="5"/>
        <v>Fina Faelasufatunnajah, S.Sos, M.Pd</v>
      </c>
      <c r="O82" s="204"/>
      <c r="P82" s="204" t="e">
        <f t="shared" si="6"/>
        <v>#N/A</v>
      </c>
      <c r="Q82" s="204"/>
      <c r="R82" s="204" t="e">
        <f t="shared" si="7"/>
        <v>#N/A</v>
      </c>
      <c r="S82" s="204"/>
      <c r="T82" s="204" t="e">
        <f t="shared" si="8"/>
        <v>#N/A</v>
      </c>
      <c r="U82" s="200"/>
      <c r="V82" s="203"/>
      <c r="W82" s="199"/>
      <c r="X82" s="204"/>
      <c r="Y82" s="204"/>
      <c r="Z82" s="204"/>
      <c r="AA82" s="204"/>
      <c r="AB82" s="204"/>
      <c r="AC82" s="204"/>
      <c r="AD82" s="204"/>
      <c r="AE82" s="204"/>
      <c r="AF82" s="204"/>
      <c r="AG82" s="205"/>
      <c r="AH82" s="208"/>
    </row>
    <row r="83" spans="1:34" ht="16.5" customHeight="1" thickBot="1" x14ac:dyDescent="0.25">
      <c r="A83" s="209">
        <v>15</v>
      </c>
      <c r="B83" s="210" t="str">
        <f t="shared" si="0"/>
        <v>Hj. Elis Mukhlisah, S.Pd</v>
      </c>
      <c r="C83" s="211"/>
      <c r="D83" s="212">
        <v>30</v>
      </c>
      <c r="E83" s="213" t="str">
        <f t="shared" si="1"/>
        <v>Widowati, S.Pd</v>
      </c>
      <c r="F83" s="213"/>
      <c r="G83" s="213" t="e">
        <f t="shared" si="2"/>
        <v>#N/A</v>
      </c>
      <c r="H83" s="213"/>
      <c r="I83" s="213" t="e">
        <f t="shared" si="3"/>
        <v>#N/A</v>
      </c>
      <c r="J83" s="213"/>
      <c r="K83" s="213" t="e">
        <f t="shared" si="4"/>
        <v>#N/A</v>
      </c>
      <c r="L83" s="213"/>
      <c r="M83" s="214">
        <v>45</v>
      </c>
      <c r="N83" s="210" t="str">
        <f t="shared" si="5"/>
        <v>Yola Roihatul Azhar S.Pd</v>
      </c>
      <c r="O83" s="215"/>
      <c r="P83" s="215" t="e">
        <f t="shared" si="6"/>
        <v>#N/A</v>
      </c>
      <c r="Q83" s="215"/>
      <c r="R83" s="215" t="e">
        <f t="shared" si="7"/>
        <v>#N/A</v>
      </c>
      <c r="S83" s="215"/>
      <c r="T83" s="215" t="e">
        <f t="shared" si="8"/>
        <v>#N/A</v>
      </c>
      <c r="U83" s="211"/>
      <c r="V83" s="214"/>
      <c r="W83" s="210"/>
      <c r="X83" s="215"/>
      <c r="Y83" s="215"/>
      <c r="Z83" s="215"/>
      <c r="AA83" s="215"/>
      <c r="AB83" s="215"/>
      <c r="AC83" s="215"/>
      <c r="AD83" s="215"/>
      <c r="AE83" s="215"/>
      <c r="AF83" s="215"/>
      <c r="AG83" s="216"/>
      <c r="AH83" s="208"/>
    </row>
    <row r="84" spans="1:34" ht="21" customHeight="1" thickBot="1" x14ac:dyDescent="0.25">
      <c r="A84" s="217" t="str">
        <f>[1]cuma_jadwale!A66</f>
        <v>BERLAKU MULAI TANGGAL 12 JANUARI 2026</v>
      </c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9"/>
      <c r="AH84" s="220"/>
    </row>
    <row r="85" spans="1:34" ht="5.25" hidden="1" customHeight="1" x14ac:dyDescent="0.2">
      <c r="A85" s="221" t="s">
        <v>89</v>
      </c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11"/>
    </row>
    <row r="86" spans="1:34" ht="20.45" hidden="1" customHeight="1" x14ac:dyDescent="0.2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11"/>
    </row>
    <row r="87" spans="1:34" ht="15.6" hidden="1" customHeight="1" x14ac:dyDescent="0.2">
      <c r="A87" s="223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1:34" ht="16.5" hidden="1" customHeight="1" x14ac:dyDescent="0.2">
      <c r="A88" s="225" t="s">
        <v>90</v>
      </c>
      <c r="B88" s="226"/>
      <c r="C88" s="226"/>
      <c r="D88" s="226"/>
      <c r="E88" s="227" t="s">
        <v>91</v>
      </c>
      <c r="F88" s="228" t="s">
        <v>92</v>
      </c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  <c r="AE88" s="229"/>
      <c r="AF88" s="229"/>
      <c r="AG88" s="230"/>
      <c r="AH88" s="231"/>
    </row>
    <row r="89" spans="1:34" ht="16.5" hidden="1" customHeight="1" x14ac:dyDescent="0.2">
      <c r="A89" s="232">
        <v>1</v>
      </c>
      <c r="B89" s="233" t="str">
        <f t="shared" ref="B89:B112" si="10">VLOOKUP(A89,gurue,2,TRUE)</f>
        <v>Edi Kocowahono, S.Pd, MM</v>
      </c>
      <c r="C89" s="233"/>
      <c r="D89" s="233"/>
      <c r="E89" s="234">
        <v>1</v>
      </c>
      <c r="F89" s="235" t="s">
        <v>93</v>
      </c>
      <c r="G89" s="236" t="s">
        <v>94</v>
      </c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  <c r="AB89" s="236"/>
      <c r="AC89" s="236"/>
      <c r="AD89" s="236"/>
      <c r="AE89" s="236"/>
      <c r="AF89" s="236"/>
      <c r="AG89" s="236"/>
      <c r="AH89" s="237"/>
    </row>
    <row r="90" spans="1:34" ht="16.5" hidden="1" customHeight="1" x14ac:dyDescent="0.2">
      <c r="A90" s="232">
        <v>2</v>
      </c>
      <c r="B90" s="233" t="str">
        <f t="shared" si="10"/>
        <v>Drs. H. Asep Sopiyandi ,M.Pd</v>
      </c>
      <c r="C90" s="233"/>
      <c r="D90" s="233"/>
      <c r="E90" s="234">
        <v>2</v>
      </c>
      <c r="F90" s="235" t="s">
        <v>93</v>
      </c>
      <c r="G90" s="236" t="s">
        <v>43</v>
      </c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36"/>
      <c r="AD90" s="236"/>
      <c r="AE90" s="236"/>
      <c r="AF90" s="236"/>
      <c r="AG90" s="236"/>
      <c r="AH90" s="237"/>
    </row>
    <row r="91" spans="1:34" ht="16.5" hidden="1" customHeight="1" x14ac:dyDescent="0.2">
      <c r="A91" s="232">
        <v>3</v>
      </c>
      <c r="B91" s="233" t="str">
        <f t="shared" si="10"/>
        <v>Drs. Hasan Basri ,M.Pd</v>
      </c>
      <c r="C91" s="233"/>
      <c r="D91" s="233"/>
      <c r="E91" s="234">
        <v>3</v>
      </c>
      <c r="F91" s="235" t="s">
        <v>93</v>
      </c>
      <c r="G91" s="236" t="s">
        <v>95</v>
      </c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36"/>
      <c r="AD91" s="236"/>
      <c r="AE91" s="236"/>
      <c r="AF91" s="236"/>
      <c r="AG91" s="236"/>
      <c r="AH91" s="237"/>
    </row>
    <row r="92" spans="1:34" ht="16.5" hidden="1" customHeight="1" x14ac:dyDescent="0.2">
      <c r="A92" s="232">
        <v>4</v>
      </c>
      <c r="B92" s="233" t="str">
        <f t="shared" si="10"/>
        <v>Iri Setiawan,  MM.Pd</v>
      </c>
      <c r="C92" s="233"/>
      <c r="D92" s="233"/>
      <c r="E92" s="234">
        <v>4</v>
      </c>
      <c r="F92" s="235" t="s">
        <v>93</v>
      </c>
      <c r="G92" s="236" t="s">
        <v>49</v>
      </c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  <c r="AC92" s="236"/>
      <c r="AD92" s="236"/>
      <c r="AE92" s="236"/>
      <c r="AF92" s="236"/>
      <c r="AG92" s="236"/>
      <c r="AH92" s="237"/>
    </row>
    <row r="93" spans="1:34" ht="16.5" hidden="1" customHeight="1" x14ac:dyDescent="0.2">
      <c r="A93" s="232">
        <v>5</v>
      </c>
      <c r="B93" s="233" t="str">
        <f t="shared" si="10"/>
        <v>Dra.Hj. Isnaini Nasuka R,M.Pd</v>
      </c>
      <c r="C93" s="233"/>
      <c r="D93" s="233"/>
      <c r="E93" s="234">
        <v>5</v>
      </c>
      <c r="F93" s="235" t="s">
        <v>93</v>
      </c>
      <c r="G93" s="236" t="s">
        <v>33</v>
      </c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  <c r="AB93" s="236"/>
      <c r="AC93" s="236"/>
      <c r="AD93" s="236"/>
      <c r="AE93" s="236"/>
      <c r="AF93" s="236"/>
      <c r="AG93" s="236"/>
      <c r="AH93" s="237"/>
    </row>
    <row r="94" spans="1:34" ht="16.5" hidden="1" customHeight="1" x14ac:dyDescent="0.2">
      <c r="A94" s="232">
        <v>6</v>
      </c>
      <c r="B94" s="233" t="str">
        <f t="shared" si="10"/>
        <v>H. Mulyadi,S.Pd,MM</v>
      </c>
      <c r="C94" s="233"/>
      <c r="D94" s="233"/>
      <c r="E94" s="234">
        <v>6</v>
      </c>
      <c r="F94" s="235" t="s">
        <v>93</v>
      </c>
      <c r="G94" s="236" t="s">
        <v>96</v>
      </c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  <c r="AB94" s="236"/>
      <c r="AC94" s="236"/>
      <c r="AD94" s="236"/>
      <c r="AE94" s="236"/>
      <c r="AF94" s="236"/>
      <c r="AG94" s="236"/>
      <c r="AH94" s="237"/>
    </row>
    <row r="95" spans="1:34" ht="16.5" hidden="1" customHeight="1" x14ac:dyDescent="0.2">
      <c r="A95" s="232">
        <v>7</v>
      </c>
      <c r="B95" s="233" t="str">
        <f t="shared" si="10"/>
        <v>A. Taufik. H, M.Pd</v>
      </c>
      <c r="C95" s="233"/>
      <c r="D95" s="233"/>
      <c r="E95" s="234">
        <v>7</v>
      </c>
      <c r="F95" s="235" t="s">
        <v>93</v>
      </c>
      <c r="G95" s="236" t="s">
        <v>97</v>
      </c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  <c r="AB95" s="236"/>
      <c r="AC95" s="236"/>
      <c r="AD95" s="236"/>
      <c r="AE95" s="236"/>
      <c r="AF95" s="236"/>
      <c r="AG95" s="236"/>
      <c r="AH95" s="237"/>
    </row>
    <row r="96" spans="1:34" ht="16.5" hidden="1" customHeight="1" x14ac:dyDescent="0.2">
      <c r="A96" s="232">
        <v>8</v>
      </c>
      <c r="B96" s="233" t="str">
        <f t="shared" si="10"/>
        <v>Rani Laetamani, S.Pd</v>
      </c>
      <c r="C96" s="233"/>
      <c r="D96" s="233"/>
      <c r="E96" s="234">
        <v>8</v>
      </c>
      <c r="F96" s="235" t="s">
        <v>93</v>
      </c>
      <c r="G96" s="236" t="s">
        <v>98</v>
      </c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6"/>
      <c r="AG96" s="236"/>
      <c r="AH96" s="237"/>
    </row>
    <row r="97" spans="1:34" ht="16.5" hidden="1" customHeight="1" x14ac:dyDescent="0.2">
      <c r="A97" s="232">
        <v>9</v>
      </c>
      <c r="B97" s="233" t="str">
        <f t="shared" si="10"/>
        <v xml:space="preserve">Drs.H. Hawar </v>
      </c>
      <c r="C97" s="233"/>
      <c r="D97" s="233"/>
      <c r="E97" s="234">
        <v>9</v>
      </c>
      <c r="F97" s="235" t="s">
        <v>93</v>
      </c>
      <c r="G97" s="236" t="s">
        <v>27</v>
      </c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7"/>
    </row>
    <row r="98" spans="1:34" ht="16.5" hidden="1" customHeight="1" x14ac:dyDescent="0.2">
      <c r="A98" s="232">
        <v>10</v>
      </c>
      <c r="B98" s="233" t="str">
        <f t="shared" si="10"/>
        <v xml:space="preserve">H. Kasir, S.Pd </v>
      </c>
      <c r="C98" s="233"/>
      <c r="D98" s="233"/>
      <c r="E98" s="234">
        <v>10</v>
      </c>
      <c r="F98" s="235" t="s">
        <v>93</v>
      </c>
      <c r="G98" s="236" t="s">
        <v>99</v>
      </c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  <c r="AB98" s="236"/>
      <c r="AC98" s="236"/>
      <c r="AD98" s="236"/>
      <c r="AE98" s="236"/>
      <c r="AF98" s="236"/>
      <c r="AG98" s="236"/>
      <c r="AH98" s="237"/>
    </row>
    <row r="99" spans="1:34" ht="16.5" hidden="1" customHeight="1" x14ac:dyDescent="0.2">
      <c r="A99" s="232">
        <v>11</v>
      </c>
      <c r="B99" s="233" t="str">
        <f t="shared" si="10"/>
        <v>Yayad Ginting, S.IP</v>
      </c>
      <c r="C99" s="233"/>
      <c r="D99" s="233"/>
      <c r="E99" s="234">
        <v>11</v>
      </c>
      <c r="F99" s="235" t="s">
        <v>93</v>
      </c>
      <c r="G99" s="236" t="s">
        <v>58</v>
      </c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  <c r="AA99" s="236"/>
      <c r="AB99" s="236"/>
      <c r="AC99" s="236"/>
      <c r="AD99" s="236"/>
      <c r="AE99" s="236"/>
      <c r="AF99" s="236"/>
      <c r="AG99" s="236"/>
      <c r="AH99" s="237"/>
    </row>
    <row r="100" spans="1:34" ht="16.5" hidden="1" customHeight="1" x14ac:dyDescent="0.2">
      <c r="A100" s="232">
        <v>12</v>
      </c>
      <c r="B100" s="233" t="str">
        <f t="shared" si="10"/>
        <v>Hj. Nur Emiliyah, SE</v>
      </c>
      <c r="C100" s="233"/>
      <c r="D100" s="233"/>
      <c r="E100" s="234">
        <v>12</v>
      </c>
      <c r="F100" s="235" t="s">
        <v>93</v>
      </c>
      <c r="G100" s="236" t="s">
        <v>61</v>
      </c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7"/>
    </row>
    <row r="101" spans="1:34" ht="16.5" hidden="1" customHeight="1" x14ac:dyDescent="0.2">
      <c r="A101" s="232">
        <v>13</v>
      </c>
      <c r="B101" s="233" t="str">
        <f t="shared" si="10"/>
        <v>Naziyah,S.Pd,M.Pd</v>
      </c>
      <c r="C101" s="233"/>
      <c r="D101" s="233"/>
      <c r="E101" s="234">
        <v>13</v>
      </c>
      <c r="F101" s="235" t="s">
        <v>93</v>
      </c>
      <c r="G101" s="236" t="s">
        <v>37</v>
      </c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7"/>
    </row>
    <row r="102" spans="1:34" ht="16.5" hidden="1" customHeight="1" x14ac:dyDescent="0.2">
      <c r="A102" s="232">
        <v>14</v>
      </c>
      <c r="B102" s="233" t="str">
        <f t="shared" si="10"/>
        <v>Arifuddin, S.Pd</v>
      </c>
      <c r="C102" s="233"/>
      <c r="D102" s="233"/>
      <c r="E102" s="234">
        <v>14</v>
      </c>
      <c r="F102" s="235" t="s">
        <v>93</v>
      </c>
      <c r="G102" s="236" t="s">
        <v>43</v>
      </c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7"/>
    </row>
    <row r="103" spans="1:34" ht="16.5" hidden="1" customHeight="1" x14ac:dyDescent="0.2">
      <c r="A103" s="232">
        <v>15</v>
      </c>
      <c r="B103" s="233" t="str">
        <f t="shared" si="10"/>
        <v>Hj. Elis Mukhlisah, S.Pd</v>
      </c>
      <c r="C103" s="233"/>
      <c r="D103" s="233"/>
      <c r="E103" s="234">
        <v>15</v>
      </c>
      <c r="F103" s="235" t="s">
        <v>93</v>
      </c>
      <c r="G103" s="236" t="s">
        <v>49</v>
      </c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7"/>
    </row>
    <row r="104" spans="1:34" ht="16.5" hidden="1" customHeight="1" x14ac:dyDescent="0.2">
      <c r="A104" s="232">
        <v>16</v>
      </c>
      <c r="B104" s="233" t="str">
        <f t="shared" si="10"/>
        <v>Mukhlish,ST,M.Pd</v>
      </c>
      <c r="C104" s="233"/>
      <c r="D104" s="233"/>
      <c r="E104" s="234">
        <v>16</v>
      </c>
      <c r="F104" s="235" t="s">
        <v>93</v>
      </c>
      <c r="G104" s="236" t="s">
        <v>45</v>
      </c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7"/>
    </row>
    <row r="105" spans="1:34" ht="16.5" hidden="1" customHeight="1" x14ac:dyDescent="0.2">
      <c r="A105" s="232">
        <v>17</v>
      </c>
      <c r="B105" s="233" t="str">
        <f t="shared" si="10"/>
        <v>Eer Humairoh, S.Pd</v>
      </c>
      <c r="C105" s="233"/>
      <c r="D105" s="233"/>
      <c r="E105" s="234">
        <v>17</v>
      </c>
      <c r="F105" s="235" t="s">
        <v>93</v>
      </c>
      <c r="G105" s="236" t="s">
        <v>100</v>
      </c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7"/>
    </row>
    <row r="106" spans="1:34" ht="16.5" hidden="1" customHeight="1" x14ac:dyDescent="0.2">
      <c r="A106" s="232">
        <v>18</v>
      </c>
      <c r="B106" s="233" t="str">
        <f t="shared" si="10"/>
        <v>Hj. Mariya Ulfah, S.Psi</v>
      </c>
      <c r="C106" s="233"/>
      <c r="D106" s="233"/>
      <c r="E106" s="234">
        <v>18</v>
      </c>
      <c r="F106" s="235" t="s">
        <v>93</v>
      </c>
      <c r="G106" s="236" t="s">
        <v>98</v>
      </c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7"/>
    </row>
    <row r="107" spans="1:34" ht="16.5" hidden="1" customHeight="1" x14ac:dyDescent="0.2">
      <c r="A107" s="232">
        <v>19</v>
      </c>
      <c r="B107" s="233" t="str">
        <f t="shared" si="10"/>
        <v>Asep Kurniawan, S.Pd</v>
      </c>
      <c r="C107" s="233"/>
      <c r="D107" s="233"/>
      <c r="E107" s="234">
        <v>19</v>
      </c>
      <c r="F107" s="235" t="s">
        <v>93</v>
      </c>
      <c r="G107" s="236" t="s">
        <v>101</v>
      </c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7"/>
    </row>
    <row r="108" spans="1:34" ht="16.5" hidden="1" customHeight="1" x14ac:dyDescent="0.2">
      <c r="A108" s="232">
        <v>20</v>
      </c>
      <c r="B108" s="233" t="str">
        <f t="shared" si="10"/>
        <v>Herni Wahyuni,S.Pd</v>
      </c>
      <c r="C108" s="233"/>
      <c r="D108" s="233"/>
      <c r="E108" s="234">
        <v>20</v>
      </c>
      <c r="F108" s="235" t="s">
        <v>93</v>
      </c>
      <c r="G108" s="236" t="s">
        <v>31</v>
      </c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7"/>
    </row>
    <row r="109" spans="1:34" ht="16.5" hidden="1" customHeight="1" x14ac:dyDescent="0.2">
      <c r="A109" s="232">
        <v>21</v>
      </c>
      <c r="B109" s="233" t="str">
        <f t="shared" si="10"/>
        <v>Ihsana Romadlon,S.Pd</v>
      </c>
      <c r="C109" s="233"/>
      <c r="D109" s="233"/>
      <c r="E109" s="234">
        <v>21</v>
      </c>
      <c r="F109" s="235" t="s">
        <v>93</v>
      </c>
      <c r="G109" s="236" t="s">
        <v>27</v>
      </c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7"/>
    </row>
    <row r="110" spans="1:34" ht="16.5" hidden="1" customHeight="1" x14ac:dyDescent="0.2">
      <c r="A110" s="232">
        <v>22</v>
      </c>
      <c r="B110" s="233" t="str">
        <f t="shared" si="10"/>
        <v>Enih Sulastri,S.Pd</v>
      </c>
      <c r="C110" s="233"/>
      <c r="D110" s="233"/>
      <c r="E110" s="234">
        <v>22</v>
      </c>
      <c r="F110" s="235" t="s">
        <v>93</v>
      </c>
      <c r="G110" s="236" t="s">
        <v>31</v>
      </c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7"/>
    </row>
    <row r="111" spans="1:34" ht="16.5" hidden="1" customHeight="1" x14ac:dyDescent="0.2">
      <c r="A111" s="232">
        <v>23</v>
      </c>
      <c r="B111" s="233" t="str">
        <f t="shared" si="10"/>
        <v>Neng Astry Mediana,S.Pd, M.Pd</v>
      </c>
      <c r="C111" s="233"/>
      <c r="D111" s="233"/>
      <c r="E111" s="234">
        <v>23</v>
      </c>
      <c r="F111" s="235" t="s">
        <v>93</v>
      </c>
      <c r="G111" s="236" t="s">
        <v>49</v>
      </c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7"/>
    </row>
    <row r="112" spans="1:34" ht="16.5" hidden="1" customHeight="1" x14ac:dyDescent="0.2">
      <c r="A112" s="238">
        <v>24</v>
      </c>
      <c r="B112" s="239" t="str">
        <f t="shared" si="10"/>
        <v>Iis Khaerunisah,S.Pd</v>
      </c>
      <c r="C112" s="239"/>
      <c r="D112" s="239"/>
      <c r="E112" s="234">
        <v>24</v>
      </c>
      <c r="F112" s="235" t="s">
        <v>93</v>
      </c>
      <c r="G112" s="236" t="s">
        <v>102</v>
      </c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7"/>
    </row>
    <row r="113" spans="1:34" ht="16.5" hidden="1" customHeight="1" x14ac:dyDescent="0.2">
      <c r="A113" s="238"/>
      <c r="B113" s="239"/>
      <c r="C113" s="239"/>
      <c r="D113" s="239"/>
      <c r="E113" s="240" t="s">
        <v>103</v>
      </c>
      <c r="F113" s="235" t="s">
        <v>93</v>
      </c>
      <c r="G113" s="236" t="s">
        <v>37</v>
      </c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7"/>
    </row>
    <row r="114" spans="1:34" ht="16.5" hidden="1" customHeight="1" x14ac:dyDescent="0.2">
      <c r="A114" s="232">
        <v>25</v>
      </c>
      <c r="B114" s="233" t="str">
        <f>VLOOKUP(A114,gurue,2,TRUE)</f>
        <v xml:space="preserve">Prayogo, S.Kom </v>
      </c>
      <c r="C114" s="233"/>
      <c r="D114" s="233"/>
      <c r="E114" s="234">
        <v>25</v>
      </c>
      <c r="F114" s="235" t="s">
        <v>104</v>
      </c>
      <c r="G114" s="236" t="s">
        <v>51</v>
      </c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7"/>
    </row>
    <row r="115" spans="1:34" ht="16.5" hidden="1" customHeight="1" x14ac:dyDescent="0.2">
      <c r="A115" s="232">
        <v>26</v>
      </c>
      <c r="B115" s="233" t="str">
        <f>VLOOKUP(A115,gurue,2,TRUE)</f>
        <v>Safili,S.Pd</v>
      </c>
      <c r="C115" s="233"/>
      <c r="D115" s="233"/>
      <c r="E115" s="234">
        <v>26</v>
      </c>
      <c r="F115" s="235" t="s">
        <v>104</v>
      </c>
      <c r="G115" s="236" t="s">
        <v>35</v>
      </c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7"/>
    </row>
    <row r="116" spans="1:34" ht="16.5" hidden="1" customHeight="1" x14ac:dyDescent="0.2">
      <c r="A116" s="232">
        <v>27</v>
      </c>
      <c r="B116" s="233" t="str">
        <f>VLOOKUP(A116,gurue,2,TRUE)</f>
        <v>Fikri Burhani,SE</v>
      </c>
      <c r="C116" s="233"/>
      <c r="D116" s="233"/>
      <c r="E116" s="234">
        <v>27</v>
      </c>
      <c r="F116" s="235" t="s">
        <v>104</v>
      </c>
      <c r="G116" s="236" t="s">
        <v>54</v>
      </c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7"/>
    </row>
    <row r="117" spans="1:34" ht="16.5" hidden="1" customHeight="1" x14ac:dyDescent="0.2">
      <c r="A117" s="238">
        <v>28</v>
      </c>
      <c r="B117" s="239" t="str">
        <f>VLOOKUP(A117,gurue,2,TRUE)</f>
        <v>Sri Zuniar Ningsih,S.H</v>
      </c>
      <c r="C117" s="239"/>
      <c r="D117" s="239"/>
      <c r="E117" s="234">
        <v>28</v>
      </c>
      <c r="F117" s="235" t="s">
        <v>93</v>
      </c>
      <c r="G117" s="236" t="s">
        <v>100</v>
      </c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7"/>
    </row>
    <row r="118" spans="1:34" ht="16.5" hidden="1" customHeight="1" x14ac:dyDescent="0.2">
      <c r="A118" s="238"/>
      <c r="B118" s="239"/>
      <c r="C118" s="239"/>
      <c r="D118" s="239"/>
      <c r="E118" s="241" t="s">
        <v>105</v>
      </c>
      <c r="F118" s="242" t="s">
        <v>93</v>
      </c>
      <c r="G118" s="236" t="s">
        <v>54</v>
      </c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7"/>
    </row>
    <row r="119" spans="1:34" ht="16.5" hidden="1" customHeight="1" x14ac:dyDescent="0.2">
      <c r="A119" s="238"/>
      <c r="B119" s="239"/>
      <c r="C119" s="239"/>
      <c r="D119" s="239"/>
      <c r="E119" s="241" t="s">
        <v>106</v>
      </c>
      <c r="F119" s="242" t="s">
        <v>93</v>
      </c>
      <c r="G119" s="236" t="s">
        <v>41</v>
      </c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7"/>
    </row>
    <row r="120" spans="1:34" ht="16.5" hidden="1" customHeight="1" x14ac:dyDescent="0.2">
      <c r="A120" s="232">
        <v>29</v>
      </c>
      <c r="B120" s="233" t="str">
        <f>VLOOKUP(A120,gurue,2,TRUE)</f>
        <v>Nur Kholifah,S.Pd,M.Pd</v>
      </c>
      <c r="C120" s="233"/>
      <c r="D120" s="233"/>
      <c r="E120" s="243">
        <f>A120</f>
        <v>29</v>
      </c>
      <c r="F120" s="235" t="s">
        <v>93</v>
      </c>
      <c r="G120" s="236" t="s">
        <v>49</v>
      </c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7"/>
    </row>
    <row r="121" spans="1:34" ht="16.5" hidden="1" customHeight="1" x14ac:dyDescent="0.2">
      <c r="A121" s="232">
        <v>30</v>
      </c>
      <c r="B121" s="233" t="str">
        <f>VLOOKUP(A121,gurue,2,TRUE)</f>
        <v>Widowati, S.Pd</v>
      </c>
      <c r="C121" s="233"/>
      <c r="D121" s="233"/>
      <c r="E121" s="243">
        <f t="shared" ref="E121:E166" si="11">A121</f>
        <v>30</v>
      </c>
      <c r="F121" s="235" t="s">
        <v>93</v>
      </c>
      <c r="G121" s="236" t="s">
        <v>45</v>
      </c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7"/>
    </row>
    <row r="122" spans="1:34" ht="16.5" hidden="1" customHeight="1" x14ac:dyDescent="0.2">
      <c r="A122" s="238">
        <v>31</v>
      </c>
      <c r="B122" s="239" t="str">
        <f>VLOOKUP(A122,gurue,2,TRUE)</f>
        <v>Rahmatullah,S.Pd</v>
      </c>
      <c r="C122" s="239"/>
      <c r="D122" s="239"/>
      <c r="E122" s="243">
        <f t="shared" si="11"/>
        <v>31</v>
      </c>
      <c r="F122" s="235" t="s">
        <v>93</v>
      </c>
      <c r="G122" s="236" t="str">
        <f>G112</f>
        <v xml:space="preserve">PENDIDIKAN KEWARGANEGARAAN </v>
      </c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7"/>
    </row>
    <row r="123" spans="1:34" ht="16.5" hidden="1" customHeight="1" x14ac:dyDescent="0.2">
      <c r="A123" s="238"/>
      <c r="B123" s="239"/>
      <c r="C123" s="239"/>
      <c r="D123" s="239"/>
      <c r="E123" s="243" t="s">
        <v>107</v>
      </c>
      <c r="F123" s="235" t="s">
        <v>93</v>
      </c>
      <c r="G123" s="236" t="s">
        <v>108</v>
      </c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7"/>
    </row>
    <row r="124" spans="1:34" ht="16.5" hidden="1" customHeight="1" x14ac:dyDescent="0.2">
      <c r="A124" s="238">
        <v>32</v>
      </c>
      <c r="B124" s="239" t="str">
        <f>VLOOKUP(A124,gurue,2,TRUE)</f>
        <v>Hj. Fatmawati, S.Hum, M.Pd</v>
      </c>
      <c r="C124" s="239"/>
      <c r="D124" s="239"/>
      <c r="E124" s="243">
        <f t="shared" si="11"/>
        <v>32</v>
      </c>
      <c r="F124" s="235" t="s">
        <v>93</v>
      </c>
      <c r="G124" s="236" t="s">
        <v>109</v>
      </c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7"/>
    </row>
    <row r="125" spans="1:34" ht="16.5" hidden="1" customHeight="1" x14ac:dyDescent="0.2">
      <c r="A125" s="238"/>
      <c r="B125" s="239"/>
      <c r="C125" s="239"/>
      <c r="D125" s="239"/>
      <c r="E125" s="243" t="s">
        <v>110</v>
      </c>
      <c r="F125" s="235" t="s">
        <v>93</v>
      </c>
      <c r="G125" s="236" t="s">
        <v>59</v>
      </c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7"/>
    </row>
    <row r="126" spans="1:34" ht="16.5" hidden="1" customHeight="1" x14ac:dyDescent="0.2">
      <c r="A126" s="238">
        <v>33</v>
      </c>
      <c r="B126" s="239" t="str">
        <f>VLOOKUP(A126,gurue,2,TRUE)</f>
        <v>Nurjannah Triastuti Rahajeng, S.Hi</v>
      </c>
      <c r="C126" s="239"/>
      <c r="D126" s="239"/>
      <c r="E126" s="243">
        <f t="shared" si="11"/>
        <v>33</v>
      </c>
      <c r="F126" s="235" t="s">
        <v>93</v>
      </c>
      <c r="G126" s="236" t="s">
        <v>61</v>
      </c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7"/>
    </row>
    <row r="127" spans="1:34" ht="16.5" hidden="1" customHeight="1" x14ac:dyDescent="0.2">
      <c r="A127" s="238"/>
      <c r="B127" s="239"/>
      <c r="C127" s="239"/>
      <c r="D127" s="239"/>
      <c r="E127" s="243" t="s">
        <v>111</v>
      </c>
      <c r="F127" s="235" t="s">
        <v>93</v>
      </c>
      <c r="G127" s="236" t="s">
        <v>41</v>
      </c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236"/>
      <c r="AH127" s="237"/>
    </row>
    <row r="128" spans="1:34" ht="16.5" hidden="1" customHeight="1" x14ac:dyDescent="0.2">
      <c r="A128" s="238">
        <v>34</v>
      </c>
      <c r="B128" s="239" t="str">
        <f>VLOOKUP(A128,gurue,2,TRUE)</f>
        <v>Iha Musliha, S.Sos</v>
      </c>
      <c r="C128" s="239"/>
      <c r="D128" s="239"/>
      <c r="E128" s="243">
        <f t="shared" si="11"/>
        <v>34</v>
      </c>
      <c r="F128" s="235" t="s">
        <v>93</v>
      </c>
      <c r="G128" s="236" t="s">
        <v>58</v>
      </c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7"/>
    </row>
    <row r="129" spans="1:34" ht="16.5" hidden="1" customHeight="1" x14ac:dyDescent="0.2">
      <c r="A129" s="238"/>
      <c r="B129" s="239"/>
      <c r="C129" s="239"/>
      <c r="D129" s="239"/>
      <c r="E129" s="243" t="s">
        <v>112</v>
      </c>
      <c r="F129" s="235" t="s">
        <v>93</v>
      </c>
      <c r="G129" s="236" t="s">
        <v>57</v>
      </c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7"/>
    </row>
    <row r="130" spans="1:34" ht="16.5" hidden="1" customHeight="1" x14ac:dyDescent="0.2">
      <c r="A130" s="232">
        <v>35</v>
      </c>
      <c r="B130" s="239" t="str">
        <f>VLOOKUP(A130,gurue,2,TRUE)</f>
        <v>Nurul Anwar, S.Pd</v>
      </c>
      <c r="C130" s="239"/>
      <c r="D130" s="239"/>
      <c r="E130" s="243">
        <f t="shared" si="11"/>
        <v>35</v>
      </c>
      <c r="F130" s="235" t="s">
        <v>93</v>
      </c>
      <c r="G130" s="236" t="s">
        <v>113</v>
      </c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7"/>
    </row>
    <row r="131" spans="1:34" ht="16.5" hidden="1" customHeight="1" x14ac:dyDescent="0.2">
      <c r="A131" s="232">
        <v>36</v>
      </c>
      <c r="B131" s="233" t="str">
        <f>VLOOKUP(A131,gurue,2,TRUE)</f>
        <v>Anisatul Hathroh, S.Pd</v>
      </c>
      <c r="C131" s="233"/>
      <c r="D131" s="233"/>
      <c r="E131" s="243">
        <f t="shared" si="11"/>
        <v>36</v>
      </c>
      <c r="F131" s="235" t="s">
        <v>93</v>
      </c>
      <c r="G131" s="236" t="s">
        <v>33</v>
      </c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7"/>
    </row>
    <row r="132" spans="1:34" ht="16.5" hidden="1" customHeight="1" x14ac:dyDescent="0.2">
      <c r="A132" s="238">
        <v>37</v>
      </c>
      <c r="B132" s="239" t="str">
        <f>VLOOKUP(A132,gurue,2,TRUE)</f>
        <v>Rokilah, S.Hum</v>
      </c>
      <c r="C132" s="239"/>
      <c r="D132" s="239"/>
      <c r="E132" s="243">
        <f t="shared" si="11"/>
        <v>37</v>
      </c>
      <c r="F132" s="235" t="s">
        <v>93</v>
      </c>
      <c r="G132" s="236" t="s">
        <v>37</v>
      </c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  <c r="AC132" s="236"/>
      <c r="AD132" s="236"/>
      <c r="AE132" s="236"/>
      <c r="AF132" s="236"/>
      <c r="AG132" s="236"/>
      <c r="AH132" s="237"/>
    </row>
    <row r="133" spans="1:34" ht="16.5" hidden="1" customHeight="1" x14ac:dyDescent="0.2">
      <c r="A133" s="238"/>
      <c r="B133" s="239"/>
      <c r="C133" s="239"/>
      <c r="D133" s="239"/>
      <c r="E133" s="243" t="s">
        <v>114</v>
      </c>
      <c r="F133" s="235" t="s">
        <v>93</v>
      </c>
      <c r="G133" s="236" t="s">
        <v>41</v>
      </c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7"/>
    </row>
    <row r="134" spans="1:34" ht="16.5" hidden="1" customHeight="1" x14ac:dyDescent="0.2">
      <c r="A134" s="232">
        <v>38</v>
      </c>
      <c r="B134" s="233" t="str">
        <f t="shared" ref="B134:B140" si="12">VLOOKUP(A134,gurue,2,TRUE)</f>
        <v>Rahmat Qurniawan, SE</v>
      </c>
      <c r="C134" s="233"/>
      <c r="D134" s="233"/>
      <c r="E134" s="243">
        <f t="shared" si="11"/>
        <v>38</v>
      </c>
      <c r="F134" s="235" t="s">
        <v>93</v>
      </c>
      <c r="G134" s="236" t="s">
        <v>54</v>
      </c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7"/>
    </row>
    <row r="135" spans="1:34" ht="16.5" hidden="1" customHeight="1" x14ac:dyDescent="0.2">
      <c r="A135" s="232">
        <v>39</v>
      </c>
      <c r="B135" s="233" t="str">
        <f t="shared" si="12"/>
        <v>Ali Sudirman, S.Pd</v>
      </c>
      <c r="C135" s="233"/>
      <c r="D135" s="233"/>
      <c r="E135" s="243">
        <f t="shared" si="11"/>
        <v>39</v>
      </c>
      <c r="F135" s="235" t="s">
        <v>93</v>
      </c>
      <c r="G135" s="236" t="s">
        <v>35</v>
      </c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7"/>
    </row>
    <row r="136" spans="1:34" ht="16.5" hidden="1" customHeight="1" x14ac:dyDescent="0.2">
      <c r="A136" s="232">
        <v>40</v>
      </c>
      <c r="B136" s="233" t="str">
        <f t="shared" si="12"/>
        <v>Mukhlisin, SE</v>
      </c>
      <c r="C136" s="233"/>
      <c r="D136" s="233"/>
      <c r="E136" s="243">
        <f t="shared" si="11"/>
        <v>40</v>
      </c>
      <c r="F136" s="235" t="s">
        <v>93</v>
      </c>
      <c r="G136" s="236" t="s">
        <v>33</v>
      </c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7"/>
    </row>
    <row r="137" spans="1:34" ht="16.5" hidden="1" customHeight="1" x14ac:dyDescent="0.2">
      <c r="A137" s="232">
        <v>41</v>
      </c>
      <c r="B137" s="233" t="str">
        <f t="shared" si="12"/>
        <v>Patmawati, S.Pd.I, M.Pd</v>
      </c>
      <c r="C137" s="233"/>
      <c r="D137" s="233"/>
      <c r="E137" s="243">
        <f t="shared" si="11"/>
        <v>41</v>
      </c>
      <c r="F137" s="235" t="s">
        <v>93</v>
      </c>
      <c r="G137" s="236" t="s">
        <v>113</v>
      </c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7"/>
    </row>
    <row r="138" spans="1:34" ht="16.5" hidden="1" customHeight="1" x14ac:dyDescent="0.2">
      <c r="A138" s="232">
        <v>42</v>
      </c>
      <c r="B138" s="233" t="str">
        <f t="shared" si="12"/>
        <v>Fahrudin, S.Pd</v>
      </c>
      <c r="C138" s="233"/>
      <c r="D138" s="233"/>
      <c r="E138" s="243">
        <f t="shared" si="11"/>
        <v>42</v>
      </c>
      <c r="F138" s="235" t="s">
        <v>93</v>
      </c>
      <c r="G138" s="236" t="s">
        <v>35</v>
      </c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7"/>
    </row>
    <row r="139" spans="1:34" ht="16.5" hidden="1" customHeight="1" x14ac:dyDescent="0.2">
      <c r="A139" s="232">
        <v>43</v>
      </c>
      <c r="B139" s="233" t="str">
        <f t="shared" si="12"/>
        <v>Aulia Rahmawati,S.Pd</v>
      </c>
      <c r="C139" s="233"/>
      <c r="D139" s="233"/>
      <c r="E139" s="243">
        <f t="shared" si="11"/>
        <v>43</v>
      </c>
      <c r="F139" s="235" t="s">
        <v>93</v>
      </c>
      <c r="G139" s="236" t="s">
        <v>101</v>
      </c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7"/>
    </row>
    <row r="140" spans="1:34" ht="16.5" hidden="1" customHeight="1" x14ac:dyDescent="0.2">
      <c r="A140" s="238">
        <v>44</v>
      </c>
      <c r="B140" s="239" t="str">
        <f t="shared" si="12"/>
        <v>Fina Faelasufatunnajah, S.Sos, M.Pd</v>
      </c>
      <c r="C140" s="239"/>
      <c r="D140" s="239"/>
      <c r="E140" s="243">
        <f t="shared" si="11"/>
        <v>44</v>
      </c>
      <c r="F140" s="235" t="s">
        <v>93</v>
      </c>
      <c r="G140" s="236" t="s">
        <v>35</v>
      </c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7"/>
    </row>
    <row r="141" spans="1:34" ht="16.5" hidden="1" customHeight="1" x14ac:dyDescent="0.2">
      <c r="A141" s="238"/>
      <c r="B141" s="239"/>
      <c r="C141" s="239"/>
      <c r="D141" s="239"/>
      <c r="E141" s="243" t="s">
        <v>115</v>
      </c>
      <c r="F141" s="235" t="s">
        <v>93</v>
      </c>
      <c r="G141" s="236" t="s">
        <v>57</v>
      </c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7"/>
    </row>
    <row r="142" spans="1:34" ht="16.5" hidden="1" customHeight="1" x14ac:dyDescent="0.2">
      <c r="A142" s="232">
        <v>45</v>
      </c>
      <c r="B142" s="233" t="str">
        <f>VLOOKUP(A142,gurue,2,TRUE)</f>
        <v>Yola Roihatul Azhar S.Pd</v>
      </c>
      <c r="C142" s="233"/>
      <c r="D142" s="233"/>
      <c r="E142" s="243">
        <f t="shared" si="11"/>
        <v>45</v>
      </c>
      <c r="F142" s="235" t="s">
        <v>93</v>
      </c>
      <c r="G142" s="236" t="s">
        <v>98</v>
      </c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7"/>
    </row>
    <row r="143" spans="1:34" ht="16.5" hidden="1" customHeight="1" x14ac:dyDescent="0.2">
      <c r="A143" s="232">
        <v>46</v>
      </c>
      <c r="B143" s="233" t="str">
        <f>VLOOKUP(A143,gurue,2,TRUE)</f>
        <v>Eva Muzdalifah, S.Psi</v>
      </c>
      <c r="C143" s="233"/>
      <c r="D143" s="233"/>
      <c r="E143" s="243">
        <f t="shared" si="11"/>
        <v>46</v>
      </c>
      <c r="F143" s="235" t="s">
        <v>93</v>
      </c>
      <c r="G143" s="236" t="s">
        <v>41</v>
      </c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7"/>
    </row>
    <row r="144" spans="1:34" ht="16.5" hidden="1" customHeight="1" x14ac:dyDescent="0.2">
      <c r="A144" s="232">
        <v>47</v>
      </c>
      <c r="B144" s="233" t="str">
        <f>VLOOKUP(A144,gurue,2,TRUE)</f>
        <v>Dyah Kartika Sari, S.Pd</v>
      </c>
      <c r="C144" s="233"/>
      <c r="D144" s="233"/>
      <c r="E144" s="243">
        <f t="shared" si="11"/>
        <v>47</v>
      </c>
      <c r="F144" s="235" t="s">
        <v>93</v>
      </c>
      <c r="G144" s="236" t="s">
        <v>98</v>
      </c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7"/>
    </row>
    <row r="145" spans="1:34" ht="16.5" hidden="1" customHeight="1" x14ac:dyDescent="0.2">
      <c r="A145" s="232">
        <v>48</v>
      </c>
      <c r="B145" s="233" t="str">
        <f>VLOOKUP(A145,gurue,2,TRUE)</f>
        <v>Nur Fairuz Fatin, S.Pd</v>
      </c>
      <c r="C145" s="233"/>
      <c r="D145" s="233"/>
      <c r="E145" s="243">
        <f t="shared" si="11"/>
        <v>48</v>
      </c>
      <c r="F145" s="235" t="s">
        <v>93</v>
      </c>
      <c r="G145" s="236" t="s">
        <v>45</v>
      </c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7"/>
    </row>
    <row r="146" spans="1:34" ht="16.5" hidden="1" customHeight="1" x14ac:dyDescent="0.2">
      <c r="A146" s="238">
        <v>49</v>
      </c>
      <c r="B146" s="239" t="str">
        <f>VLOOKUP(A146,gurue,2,TRUE)</f>
        <v>Lutfah, ST</v>
      </c>
      <c r="C146" s="239"/>
      <c r="D146" s="239"/>
      <c r="E146" s="243">
        <v>49</v>
      </c>
      <c r="F146" s="235" t="s">
        <v>93</v>
      </c>
      <c r="G146" s="236" t="s">
        <v>35</v>
      </c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7"/>
    </row>
    <row r="147" spans="1:34" ht="16.5" hidden="1" customHeight="1" x14ac:dyDescent="0.2">
      <c r="A147" s="238"/>
      <c r="B147" s="239"/>
      <c r="C147" s="239"/>
      <c r="D147" s="239"/>
      <c r="E147" s="243" t="s">
        <v>116</v>
      </c>
      <c r="F147" s="235"/>
      <c r="G147" s="236" t="s">
        <v>54</v>
      </c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7"/>
    </row>
    <row r="148" spans="1:34" ht="16.5" hidden="1" customHeight="1" x14ac:dyDescent="0.2">
      <c r="A148" s="238"/>
      <c r="B148" s="239"/>
      <c r="C148" s="239"/>
      <c r="D148" s="239"/>
      <c r="E148" s="243" t="s">
        <v>117</v>
      </c>
      <c r="F148" s="235"/>
      <c r="G148" s="236" t="s">
        <v>51</v>
      </c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7"/>
    </row>
    <row r="149" spans="1:34" ht="16.5" hidden="1" customHeight="1" x14ac:dyDescent="0.2">
      <c r="A149" s="238">
        <v>50</v>
      </c>
      <c r="B149" s="239" t="str">
        <f>VLOOKUP(A149,gurue,2,TRUE)</f>
        <v>M.Fatkhul Alam  Ori,S.Pd</v>
      </c>
      <c r="C149" s="239"/>
      <c r="D149" s="239"/>
      <c r="E149" s="243">
        <f t="shared" si="11"/>
        <v>50</v>
      </c>
      <c r="F149" s="235" t="s">
        <v>93</v>
      </c>
      <c r="G149" s="236" t="s">
        <v>27</v>
      </c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7"/>
    </row>
    <row r="150" spans="1:34" ht="16.5" hidden="1" customHeight="1" x14ac:dyDescent="0.2">
      <c r="A150" s="238"/>
      <c r="B150" s="239"/>
      <c r="C150" s="239"/>
      <c r="D150" s="239"/>
      <c r="E150" s="243" t="s">
        <v>118</v>
      </c>
      <c r="F150" s="235"/>
      <c r="G150" s="236" t="s">
        <v>41</v>
      </c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7"/>
    </row>
    <row r="151" spans="1:34" ht="16.5" hidden="1" customHeight="1" x14ac:dyDescent="0.2">
      <c r="A151" s="232">
        <v>51</v>
      </c>
      <c r="B151" s="233" t="str">
        <f>VLOOKUP(A151,gurue,2,TRUE)</f>
        <v>Yunda Walida P,S.Pd</v>
      </c>
      <c r="C151" s="233"/>
      <c r="D151" s="233"/>
      <c r="E151" s="243">
        <f t="shared" si="11"/>
        <v>51</v>
      </c>
      <c r="F151" s="235" t="s">
        <v>93</v>
      </c>
      <c r="G151" s="236" t="s">
        <v>33</v>
      </c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7"/>
    </row>
    <row r="152" spans="1:34" ht="16.5" hidden="1" customHeight="1" x14ac:dyDescent="0.2">
      <c r="A152" s="238">
        <v>52</v>
      </c>
      <c r="B152" s="239" t="str">
        <f>VLOOKUP(A152,gurue,2,TRUE)</f>
        <v>Ifat Kasyifaturrohmah,M.Pd</v>
      </c>
      <c r="C152" s="239"/>
      <c r="D152" s="239"/>
      <c r="E152" s="243">
        <f t="shared" si="11"/>
        <v>52</v>
      </c>
      <c r="F152" s="235" t="s">
        <v>93</v>
      </c>
      <c r="G152" s="236" t="s">
        <v>31</v>
      </c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7"/>
    </row>
    <row r="153" spans="1:34" ht="16.5" hidden="1" customHeight="1" x14ac:dyDescent="0.2">
      <c r="A153" s="238"/>
      <c r="B153" s="239"/>
      <c r="C153" s="239"/>
      <c r="D153" s="239"/>
      <c r="E153" s="243" t="s">
        <v>119</v>
      </c>
      <c r="F153" s="235" t="s">
        <v>93</v>
      </c>
      <c r="G153" s="236" t="s">
        <v>43</v>
      </c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7"/>
    </row>
    <row r="154" spans="1:34" ht="16.5" hidden="1" customHeight="1" x14ac:dyDescent="0.2">
      <c r="A154" s="238">
        <v>53</v>
      </c>
      <c r="B154" s="239" t="str">
        <f>VLOOKUP(A154,gurue,2,TRUE)</f>
        <v>Veni Sri Nurlita Sari,S.Pd</v>
      </c>
      <c r="C154" s="239"/>
      <c r="D154" s="239"/>
      <c r="E154" s="243">
        <f t="shared" si="11"/>
        <v>53</v>
      </c>
      <c r="F154" s="235" t="s">
        <v>93</v>
      </c>
      <c r="G154" s="236" t="s">
        <v>31</v>
      </c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7"/>
    </row>
    <row r="155" spans="1:34" ht="16.5" hidden="1" customHeight="1" x14ac:dyDescent="0.2">
      <c r="A155" s="238"/>
      <c r="B155" s="239"/>
      <c r="C155" s="239"/>
      <c r="D155" s="239"/>
      <c r="E155" s="243" t="s">
        <v>120</v>
      </c>
      <c r="F155" s="235" t="s">
        <v>93</v>
      </c>
      <c r="G155" s="236" t="s">
        <v>121</v>
      </c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7"/>
    </row>
    <row r="156" spans="1:34" ht="16.5" hidden="1" customHeight="1" x14ac:dyDescent="0.2">
      <c r="A156" s="238">
        <v>54</v>
      </c>
      <c r="B156" s="239" t="str">
        <f>VLOOKUP(A156,gurue,2,TRUE)</f>
        <v>Amimah,SM</v>
      </c>
      <c r="C156" s="239"/>
      <c r="D156" s="239"/>
      <c r="E156" s="243">
        <f t="shared" si="11"/>
        <v>54</v>
      </c>
      <c r="F156" s="235" t="s">
        <v>93</v>
      </c>
      <c r="G156" s="236" t="s">
        <v>122</v>
      </c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7"/>
    </row>
    <row r="157" spans="1:34" ht="16.5" hidden="1" customHeight="1" x14ac:dyDescent="0.2">
      <c r="A157" s="238"/>
      <c r="B157" s="239"/>
      <c r="C157" s="239"/>
      <c r="D157" s="239"/>
      <c r="E157" s="243" t="s">
        <v>123</v>
      </c>
      <c r="F157" s="235" t="s">
        <v>93</v>
      </c>
      <c r="G157" s="236" t="s">
        <v>41</v>
      </c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7"/>
    </row>
    <row r="158" spans="1:34" ht="15.75" hidden="1" customHeight="1" x14ac:dyDescent="0.2">
      <c r="A158" s="238">
        <v>55</v>
      </c>
      <c r="B158" s="239" t="str">
        <f>VLOOKUP(A158,gurue,2,TRUE)</f>
        <v>Rosalina,S.Pd</v>
      </c>
      <c r="C158" s="239"/>
      <c r="D158" s="239"/>
      <c r="E158" s="243">
        <f t="shared" si="11"/>
        <v>55</v>
      </c>
      <c r="F158" s="235" t="s">
        <v>93</v>
      </c>
      <c r="G158" s="236" t="s">
        <v>31</v>
      </c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</row>
    <row r="159" spans="1:34" ht="13.5" hidden="1" customHeight="1" x14ac:dyDescent="0.2">
      <c r="A159" s="238"/>
      <c r="B159" s="239"/>
      <c r="C159" s="239"/>
      <c r="D159" s="239"/>
      <c r="E159" s="243" t="s">
        <v>124</v>
      </c>
      <c r="F159" s="235" t="s">
        <v>93</v>
      </c>
      <c r="G159" s="236" t="s">
        <v>43</v>
      </c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</row>
    <row r="160" spans="1:34" ht="15.75" hidden="1" customHeight="1" x14ac:dyDescent="0.2">
      <c r="A160" s="238">
        <v>56</v>
      </c>
      <c r="B160" s="239" t="str">
        <f>VLOOKUP(A160,gurue,2,TRUE)</f>
        <v>Muhamad Sopiyudin,S.Pd</v>
      </c>
      <c r="C160" s="239"/>
      <c r="D160" s="239"/>
      <c r="E160" s="243">
        <f t="shared" si="11"/>
        <v>56</v>
      </c>
      <c r="F160" s="235" t="s">
        <v>93</v>
      </c>
      <c r="G160" s="236" t="s">
        <v>49</v>
      </c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</row>
    <row r="161" spans="1:33" ht="13.5" hidden="1" customHeight="1" x14ac:dyDescent="0.2">
      <c r="A161" s="238"/>
      <c r="B161" s="239"/>
      <c r="C161" s="239"/>
      <c r="D161" s="239"/>
      <c r="E161" s="243" t="s">
        <v>125</v>
      </c>
      <c r="F161" s="235" t="s">
        <v>93</v>
      </c>
      <c r="G161" s="236" t="s">
        <v>51</v>
      </c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</row>
    <row r="162" spans="1:33" ht="15.75" hidden="1" customHeight="1" x14ac:dyDescent="0.2">
      <c r="A162" s="238">
        <v>57</v>
      </c>
      <c r="B162" s="239" t="str">
        <f>VLOOKUP(A162,gurue,2,TRUE)</f>
        <v>Muhamad Sopiyudin,S.Pd</v>
      </c>
      <c r="C162" s="239"/>
      <c r="D162" s="239"/>
      <c r="E162" s="243">
        <f t="shared" si="11"/>
        <v>57</v>
      </c>
      <c r="F162" s="235" t="s">
        <v>93</v>
      </c>
      <c r="G162" s="236" t="s">
        <v>57</v>
      </c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</row>
    <row r="163" spans="1:33" ht="15.75" hidden="1" customHeight="1" x14ac:dyDescent="0.2">
      <c r="A163" s="238"/>
      <c r="B163" s="239"/>
      <c r="C163" s="239"/>
      <c r="D163" s="239"/>
      <c r="E163" s="243" t="s">
        <v>126</v>
      </c>
      <c r="F163" s="235" t="s">
        <v>93</v>
      </c>
      <c r="G163" s="236" t="s">
        <v>41</v>
      </c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</row>
    <row r="164" spans="1:33" ht="15.75" hidden="1" customHeight="1" x14ac:dyDescent="0.2">
      <c r="A164" s="238">
        <v>58</v>
      </c>
      <c r="B164" s="244" t="str">
        <f>VLOOKUP(A164,gurue,2,TRUE)</f>
        <v>Muhamad Sopiyudin,S.Pd</v>
      </c>
      <c r="C164" s="244"/>
      <c r="D164" s="244"/>
      <c r="E164" s="243">
        <f t="shared" si="11"/>
        <v>58</v>
      </c>
      <c r="F164" s="235" t="s">
        <v>93</v>
      </c>
      <c r="G164" s="236" t="s">
        <v>127</v>
      </c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</row>
    <row r="165" spans="1:33" ht="15.75" hidden="1" customHeight="1" x14ac:dyDescent="0.2">
      <c r="A165" s="238"/>
      <c r="B165" s="244"/>
      <c r="C165" s="244"/>
      <c r="D165" s="244"/>
      <c r="E165" s="243" t="s">
        <v>128</v>
      </c>
      <c r="F165" s="235" t="s">
        <v>93</v>
      </c>
      <c r="G165" s="236" t="s">
        <v>59</v>
      </c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</row>
    <row r="166" spans="1:33" ht="15" hidden="1" x14ac:dyDescent="0.2">
      <c r="A166" s="232">
        <v>59</v>
      </c>
      <c r="B166" s="233" t="str">
        <f>VLOOKUP(A166,gurue,2,TRUE)</f>
        <v>Muhamad Sopiyudin,S.Pd</v>
      </c>
      <c r="C166" s="233"/>
      <c r="D166" s="233"/>
      <c r="E166" s="243">
        <f t="shared" si="11"/>
        <v>59</v>
      </c>
      <c r="F166" s="235" t="s">
        <v>93</v>
      </c>
      <c r="G166" s="236" t="s">
        <v>27</v>
      </c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</row>
  </sheetData>
  <mergeCells count="256">
    <mergeCell ref="B166:D166"/>
    <mergeCell ref="G166:AG166"/>
    <mergeCell ref="A162:A163"/>
    <mergeCell ref="B162:D163"/>
    <mergeCell ref="G162:AG162"/>
    <mergeCell ref="G163:AG163"/>
    <mergeCell ref="A164:A165"/>
    <mergeCell ref="B164:D165"/>
    <mergeCell ref="G164:AG164"/>
    <mergeCell ref="G165:AG165"/>
    <mergeCell ref="A158:A159"/>
    <mergeCell ref="B158:D159"/>
    <mergeCell ref="G158:AG158"/>
    <mergeCell ref="G159:AG159"/>
    <mergeCell ref="A160:A161"/>
    <mergeCell ref="B160:D161"/>
    <mergeCell ref="G160:AG160"/>
    <mergeCell ref="G161:AG161"/>
    <mergeCell ref="A154:A155"/>
    <mergeCell ref="B154:D155"/>
    <mergeCell ref="G154:AG154"/>
    <mergeCell ref="G155:AG155"/>
    <mergeCell ref="A156:A157"/>
    <mergeCell ref="B156:D157"/>
    <mergeCell ref="G156:AG156"/>
    <mergeCell ref="G157:AG157"/>
    <mergeCell ref="B151:D151"/>
    <mergeCell ref="G151:AG151"/>
    <mergeCell ref="A152:A153"/>
    <mergeCell ref="B152:D153"/>
    <mergeCell ref="G152:AG152"/>
    <mergeCell ref="G153:AG153"/>
    <mergeCell ref="A146:A148"/>
    <mergeCell ref="B146:D148"/>
    <mergeCell ref="G146:AG146"/>
    <mergeCell ref="G147:AG147"/>
    <mergeCell ref="G148:AG148"/>
    <mergeCell ref="A149:A150"/>
    <mergeCell ref="B149:D150"/>
    <mergeCell ref="G149:AG149"/>
    <mergeCell ref="G150:AG150"/>
    <mergeCell ref="B143:D143"/>
    <mergeCell ref="G143:AG143"/>
    <mergeCell ref="B144:D144"/>
    <mergeCell ref="G144:AG144"/>
    <mergeCell ref="B145:D145"/>
    <mergeCell ref="G145:AG145"/>
    <mergeCell ref="A140:A141"/>
    <mergeCell ref="B140:D141"/>
    <mergeCell ref="G140:AG140"/>
    <mergeCell ref="G141:AG141"/>
    <mergeCell ref="B142:D142"/>
    <mergeCell ref="G142:AG142"/>
    <mergeCell ref="B137:D137"/>
    <mergeCell ref="G137:AG137"/>
    <mergeCell ref="B138:D138"/>
    <mergeCell ref="G138:AG138"/>
    <mergeCell ref="B139:D139"/>
    <mergeCell ref="G139:AG139"/>
    <mergeCell ref="B134:D134"/>
    <mergeCell ref="G134:AG134"/>
    <mergeCell ref="B135:D135"/>
    <mergeCell ref="G135:AG135"/>
    <mergeCell ref="B136:D136"/>
    <mergeCell ref="G136:AG136"/>
    <mergeCell ref="B131:D131"/>
    <mergeCell ref="G131:AG131"/>
    <mergeCell ref="A132:A133"/>
    <mergeCell ref="B132:D133"/>
    <mergeCell ref="G132:AG132"/>
    <mergeCell ref="G133:AG133"/>
    <mergeCell ref="A128:A129"/>
    <mergeCell ref="B128:D129"/>
    <mergeCell ref="G128:AG128"/>
    <mergeCell ref="G129:AG129"/>
    <mergeCell ref="B130:D130"/>
    <mergeCell ref="G130:AG130"/>
    <mergeCell ref="A124:A125"/>
    <mergeCell ref="B124:D125"/>
    <mergeCell ref="G124:AG124"/>
    <mergeCell ref="G125:AG125"/>
    <mergeCell ref="A126:A127"/>
    <mergeCell ref="B126:D127"/>
    <mergeCell ref="G126:AG126"/>
    <mergeCell ref="G127:AG127"/>
    <mergeCell ref="B120:D120"/>
    <mergeCell ref="G120:AG120"/>
    <mergeCell ref="B121:D121"/>
    <mergeCell ref="G121:AG121"/>
    <mergeCell ref="A122:A123"/>
    <mergeCell ref="B122:D123"/>
    <mergeCell ref="G122:AG122"/>
    <mergeCell ref="G123:AG123"/>
    <mergeCell ref="B115:D115"/>
    <mergeCell ref="G115:AG115"/>
    <mergeCell ref="B116:D116"/>
    <mergeCell ref="G116:AG116"/>
    <mergeCell ref="A117:A119"/>
    <mergeCell ref="B117:D119"/>
    <mergeCell ref="G117:AG117"/>
    <mergeCell ref="G118:AG118"/>
    <mergeCell ref="G119:AG119"/>
    <mergeCell ref="A112:A113"/>
    <mergeCell ref="B112:D113"/>
    <mergeCell ref="G112:AG112"/>
    <mergeCell ref="G113:AG113"/>
    <mergeCell ref="B114:D114"/>
    <mergeCell ref="G114:AG114"/>
    <mergeCell ref="B109:D109"/>
    <mergeCell ref="G109:AG109"/>
    <mergeCell ref="B110:D110"/>
    <mergeCell ref="G110:AG110"/>
    <mergeCell ref="B111:D111"/>
    <mergeCell ref="G111:AG111"/>
    <mergeCell ref="B106:D106"/>
    <mergeCell ref="G106:AG106"/>
    <mergeCell ref="B107:D107"/>
    <mergeCell ref="G107:AG107"/>
    <mergeCell ref="B108:D108"/>
    <mergeCell ref="G108:AG108"/>
    <mergeCell ref="B103:D103"/>
    <mergeCell ref="G103:AG103"/>
    <mergeCell ref="B104:D104"/>
    <mergeCell ref="G104:AG104"/>
    <mergeCell ref="B105:D105"/>
    <mergeCell ref="G105:AG105"/>
    <mergeCell ref="B100:D100"/>
    <mergeCell ref="G100:AG100"/>
    <mergeCell ref="B101:D101"/>
    <mergeCell ref="G101:AG101"/>
    <mergeCell ref="B102:D102"/>
    <mergeCell ref="G102:AG102"/>
    <mergeCell ref="B97:D97"/>
    <mergeCell ref="G97:AG97"/>
    <mergeCell ref="B98:D98"/>
    <mergeCell ref="G98:AG98"/>
    <mergeCell ref="B99:D99"/>
    <mergeCell ref="G99:AG99"/>
    <mergeCell ref="B94:D94"/>
    <mergeCell ref="G94:AG94"/>
    <mergeCell ref="B95:D95"/>
    <mergeCell ref="G95:AG95"/>
    <mergeCell ref="B96:D96"/>
    <mergeCell ref="G96:AG96"/>
    <mergeCell ref="B91:D91"/>
    <mergeCell ref="G91:AG91"/>
    <mergeCell ref="B92:D92"/>
    <mergeCell ref="G92:AG92"/>
    <mergeCell ref="B93:D93"/>
    <mergeCell ref="G93:AG93"/>
    <mergeCell ref="A88:D88"/>
    <mergeCell ref="F88:AG88"/>
    <mergeCell ref="B89:D89"/>
    <mergeCell ref="G89:AG89"/>
    <mergeCell ref="B90:D90"/>
    <mergeCell ref="G90:AG90"/>
    <mergeCell ref="B83:C83"/>
    <mergeCell ref="E83:L83"/>
    <mergeCell ref="N83:U83"/>
    <mergeCell ref="W83:AG83"/>
    <mergeCell ref="A84:AG84"/>
    <mergeCell ref="A85:AG86"/>
    <mergeCell ref="B81:C81"/>
    <mergeCell ref="E81:L81"/>
    <mergeCell ref="N81:U81"/>
    <mergeCell ref="W81:AG81"/>
    <mergeCell ref="B82:C82"/>
    <mergeCell ref="E82:L82"/>
    <mergeCell ref="N82:U82"/>
    <mergeCell ref="W82:AG82"/>
    <mergeCell ref="B79:C79"/>
    <mergeCell ref="E79:L79"/>
    <mergeCell ref="N79:U79"/>
    <mergeCell ref="W79:AG79"/>
    <mergeCell ref="B80:C80"/>
    <mergeCell ref="E80:L80"/>
    <mergeCell ref="N80:U80"/>
    <mergeCell ref="W80:AG80"/>
    <mergeCell ref="B77:C77"/>
    <mergeCell ref="E77:L77"/>
    <mergeCell ref="N77:U77"/>
    <mergeCell ref="W77:AG77"/>
    <mergeCell ref="B78:C78"/>
    <mergeCell ref="E78:L78"/>
    <mergeCell ref="N78:U78"/>
    <mergeCell ref="W78:AG78"/>
    <mergeCell ref="B75:C75"/>
    <mergeCell ref="E75:L75"/>
    <mergeCell ref="N75:U75"/>
    <mergeCell ref="W75:AG75"/>
    <mergeCell ref="B76:C76"/>
    <mergeCell ref="E76:L76"/>
    <mergeCell ref="N76:U76"/>
    <mergeCell ref="W76:AG76"/>
    <mergeCell ref="B73:C73"/>
    <mergeCell ref="E73:L73"/>
    <mergeCell ref="N73:U73"/>
    <mergeCell ref="W73:AG73"/>
    <mergeCell ref="B74:C74"/>
    <mergeCell ref="E74:L74"/>
    <mergeCell ref="N74:U74"/>
    <mergeCell ref="W74:AG74"/>
    <mergeCell ref="B71:C71"/>
    <mergeCell ref="E71:L71"/>
    <mergeCell ref="N71:U71"/>
    <mergeCell ref="W71:AG71"/>
    <mergeCell ref="B72:C72"/>
    <mergeCell ref="E72:L72"/>
    <mergeCell ref="N72:U72"/>
    <mergeCell ref="W72:AG72"/>
    <mergeCell ref="B69:C69"/>
    <mergeCell ref="E69:L69"/>
    <mergeCell ref="N69:U69"/>
    <mergeCell ref="W69:AG69"/>
    <mergeCell ref="B70:C70"/>
    <mergeCell ref="E70:L70"/>
    <mergeCell ref="N70:U70"/>
    <mergeCell ref="W70:AG70"/>
    <mergeCell ref="A58:A66"/>
    <mergeCell ref="D58:AG58"/>
    <mergeCell ref="D63:AG63"/>
    <mergeCell ref="D66:AG66"/>
    <mergeCell ref="A67:AG67"/>
    <mergeCell ref="E68:J68"/>
    <mergeCell ref="N68:U68"/>
    <mergeCell ref="W68:AG68"/>
    <mergeCell ref="A33:A45"/>
    <mergeCell ref="D37:AG37"/>
    <mergeCell ref="D40:AG40"/>
    <mergeCell ref="D45:AG45"/>
    <mergeCell ref="D46:AG46"/>
    <mergeCell ref="A47:A56"/>
    <mergeCell ref="D51:AG51"/>
    <mergeCell ref="D54:AG54"/>
    <mergeCell ref="D18:AG18"/>
    <mergeCell ref="A19:A31"/>
    <mergeCell ref="D23:AG23"/>
    <mergeCell ref="D26:AG26"/>
    <mergeCell ref="D31:AG31"/>
    <mergeCell ref="D32:AG32"/>
    <mergeCell ref="X4:Z4"/>
    <mergeCell ref="AA4:AC4"/>
    <mergeCell ref="AD4:AG4"/>
    <mergeCell ref="A6:A17"/>
    <mergeCell ref="D6:AG6"/>
    <mergeCell ref="D10:AG10"/>
    <mergeCell ref="D13:AG13"/>
    <mergeCell ref="A2:A5"/>
    <mergeCell ref="B2:B5"/>
    <mergeCell ref="D2:AG2"/>
    <mergeCell ref="C3:C5"/>
    <mergeCell ref="D3:M4"/>
    <mergeCell ref="N3:W3"/>
    <mergeCell ref="X3:AG3"/>
    <mergeCell ref="N4:R4"/>
    <mergeCell ref="S4:W4"/>
  </mergeCells>
  <conditionalFormatting sqref="D7:AG9 D11:AG12 D14:AG17 D19:AG22 D24:AG25 D27:AG30 D31 D33:AG36 D38:AG39 D41:AG44 D45 D47:AG50 D52:AG53 D55:AG56 D59:AG62 D64:AG65 D66">
    <cfRule type="cellIs" dxfId="0" priority="2" operator="equal">
      <formula>#REF!</formula>
    </cfRule>
  </conditionalFormatting>
  <pageMargins left="0.15748031496062992" right="0" top="0.11811023622047245" bottom="0.43307086614173229" header="0.31496062992125984" footer="0.11811023622047245"/>
  <pageSetup paperSize="66" scale="98" orientation="portrait" r:id="rId1"/>
  <rowBreaks count="1" manualBreakCount="1">
    <brk id="86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black_en_white</vt:lpstr>
      <vt:lpstr>black_en_white!Print_Area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 sma</dc:creator>
  <cp:lastModifiedBy>kurikulum sma</cp:lastModifiedBy>
  <dcterms:created xsi:type="dcterms:W3CDTF">2026-01-14T03:55:43Z</dcterms:created>
  <dcterms:modified xsi:type="dcterms:W3CDTF">2026-01-14T03:57:25Z</dcterms:modified>
</cp:coreProperties>
</file>